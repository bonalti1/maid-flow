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64cfdd05d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Line Items" sheetId="1" r:id="Rfd958e8c2ce947a1"/>
    <x:sheet xmlns:r="http://schemas.openxmlformats.org/officeDocument/2006/relationships" name="Baseline Price List" sheetId="2" r:id="Rbaa7196609874a80"/>
    <x:sheet xmlns:r="http://schemas.openxmlformats.org/officeDocument/2006/relationships" name="Invoice Summary" sheetId="3" r:id="R81b647345c5a471a"/>
    <x:sheet xmlns:r="http://schemas.openxmlformats.org/officeDocument/2006/relationships" name="New Invoice Check" sheetId="4" r:id="R1fd4bce725d741c3"/>
    <x:sheet xmlns:r="http://schemas.openxmlformats.org/officeDocument/2006/relationships" name="Read Me" sheetId="5" r:id="Raad33799c0d1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/yyyy"/>
    <x:numFmt numFmtId="201" formatCode="0"/>
    <x:numFmt numFmtId="202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E2F0D9"/>
      </x:patternFill>
    </x:fill>
    <x:fill>
      <x:patternFill patternType="solid">
        <x:fgColor rgb="FFC00000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c7ae280fa40ec" /><Relationship Type="http://schemas.openxmlformats.org/officeDocument/2006/relationships/theme" Target="/xl/theme/theme1.xml" Id="R9b15ef5eb4514265" /><Relationship Type="http://schemas.openxmlformats.org/officeDocument/2006/relationships/sharedStrings" Target="/xl/sharedStrings.xml" Id="R7258ae9c959a4c16" /><Relationship Type="http://schemas.openxmlformats.org/officeDocument/2006/relationships/worksheet" Target="/xl/worksheets/sheet1.xml" Id="Rfd958e8c2ce947a1" /><Relationship Type="http://schemas.openxmlformats.org/officeDocument/2006/relationships/worksheet" Target="/xl/worksheets/sheet2.xml" Id="Rbaa7196609874a80" /><Relationship Type="http://schemas.openxmlformats.org/officeDocument/2006/relationships/worksheet" Target="/xl/worksheets/sheet3.xml" Id="R81b647345c5a471a" /><Relationship Type="http://schemas.openxmlformats.org/officeDocument/2006/relationships/worksheet" Target="/xl/worksheets/sheet4.xml" Id="R1fd4bce725d741c3" /><Relationship Type="http://schemas.openxmlformats.org/officeDocument/2006/relationships/worksheet" Target="/xl/worksheets/sheet5.xml" Id="Raad33799c0d14fa6" /></Relationships>
</file>

<file path=xl/tables/table1.xml><?xml version="1.0" encoding="utf-8"?>
<x:table xmlns:x="http://schemas.openxmlformats.org/spreadsheetml/2006/main" id="1" name="InvoiceLineItems" displayName="InvoiceLineItems" ref="A1:S46" headerRowCount="1">
  <x:tableColumns count="19">
    <x:tableColumn id="1" name="Invoice #"/>
    <x:tableColumn id="2" name="Invoice Date"/>
    <x:tableColumn id="3" name="Order #"/>
    <x:tableColumn id="4" name="Page"/>
    <x:tableColumn id="5" name="Account"/>
    <x:tableColumn id="6" name="Job"/>
    <x:tableColumn id="7" name="Ship To / Property"/>
    <x:tableColumn id="8" name="Customer PO"/>
    <x:tableColumn id="9" name="Qty"/>
    <x:tableColumn id="10" name="UM"/>
    <x:tableColumn id="11" name="Item #"/>
    <x:tableColumn id="12" name="Description"/>
    <x:tableColumn id="13" name="Category"/>
    <x:tableColumn id="14" name="Unit Price"/>
    <x:tableColumn id="15" name="Line Amount"/>
    <x:tableColumn id="16" name="Notes"/>
    <x:tableColumn id="17" name="Calc Amount"/>
    <x:tableColumn id="18" name="Amount Diff"/>
    <x:tableColumn id="19" name="Price Source"/>
  </x:tableColumns>
  <x:tableStyleInfo name="TableStyleMedium2" showRowStripes="1"/>
</x:table>
</file>

<file path=xl/tables/table2.xml><?xml version="1.0" encoding="utf-8"?>
<x:table xmlns:x="http://schemas.openxmlformats.org/spreadsheetml/2006/main" id="2" name="BaselinePrices" displayName="BaselinePrices" ref="A1:P41" headerRowCount="1">
  <x:tableColumns count="16">
    <x:tableColumn id="1" name="Item #"/>
    <x:tableColumn id="2" name="Description"/>
    <x:tableColumn id="3" name="UM"/>
    <x:tableColumn id="4" name="Category"/>
    <x:tableColumn id="5" name="Baseline Unit Price"/>
    <x:tableColumn id="6" name="Baseline Rule"/>
    <x:tableColumn id="7" name="Lowest Price Seen"/>
    <x:tableColumn id="8" name="Highest Price Seen"/>
    <x:tableColumn id="9" name="Price Spread"/>
    <x:tableColumn id="10" name="Last Seen Price"/>
    <x:tableColumn id="11" name="Last Seen Invoice"/>
    <x:tableColumn id="12" name="Last Seen Date"/>
    <x:tableColumn id="13" name="Times Purchased"/>
    <x:tableColumn id="14" name="Total Qty"/>
    <x:tableColumn id="15" name="Total Paid"/>
    <x:tableColumn id="1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InvoiceSummary" displayName="InvoiceSummary" ref="A1:I4" headerRowCount="1">
  <x:tableColumns count="9">
    <x:tableColumn id="1" name="Invoice #"/>
    <x:tableColumn id="2" name="Invoice Date"/>
    <x:tableColumn id="3" name="Page Status"/>
    <x:tableColumn id="4" name="Visible Lines"/>
    <x:tableColumn id="5" name="Visible Line Subtotal"/>
    <x:tableColumn id="6" name="Invoice Subtotal Shown"/>
    <x:tableColumn id="7" name="Sales Tax Shown"/>
    <x:tableColumn id="8" name="Invoice Total Shown"/>
    <x:tableColumn id="9" name="Extraction Notes"/>
  </x:tableColumns>
  <x:tableStyleInfo name="TableStyleMedium2" showRowStripes="1"/>
</x:table>
</file>

<file path=xl/tables/table4.xml><?xml version="1.0" encoding="utf-8"?>
<x:table xmlns:x="http://schemas.openxmlformats.org/spreadsheetml/2006/main" id="4" name="NewInvoiceCheck" displayName="NewInvoiceCheck" ref="A1:L200" headerRowCount="1">
  <x:tableColumns count="12">
    <x:tableColumn id="1" name="Item #"/>
    <x:tableColumn id="2" name="Description"/>
    <x:tableColumn id="3" name="UM"/>
    <x:tableColumn id="4" name="Qty"/>
    <x:tableColumn id="5" name="Invoice Unit Price"/>
    <x:tableColumn id="6" name="Invoice Line Amount"/>
    <x:tableColumn id="7" name="Baseline Unit Price"/>
    <x:tableColumn id="8" name="Allowed Variance"/>
    <x:tableColumn id="9" name="Variance / Unit"/>
    <x:tableColumn id="10" name="Potential Overcharge"/>
    <x:tableColumn id="11" name="Status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124209fbe344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beb30409de41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de557043dc41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79633e49734ef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4" hidden="0" customWidth="1"/>
    <x:col min="4" max="4" width="16" hidden="0" customWidth="1"/>
    <x:col min="5" max="5" width="11" hidden="0" customWidth="1"/>
    <x:col min="6" max="6" width="8" hidden="0" customWidth="1"/>
    <x:col min="7" max="7" width="42" hidden="0" customWidth="1"/>
    <x:col min="8" max="8" width="24" hidden="0" customWidth="1"/>
    <x:col min="9" max="9" width="9" hidden="0" customWidth="1"/>
    <x:col min="10" max="10" width="10" hidden="0" customWidth="1"/>
    <x:col min="11" max="11" width="12" hidden="0" customWidth="1"/>
    <x:col min="12" max="12" width="42" hidden="0" customWidth="1"/>
    <x:col min="13" max="13" width="12" hidden="0" customWidth="1"/>
    <x:col min="14" max="14" width="12" hidden="0" customWidth="1"/>
    <x:col min="15" max="15" width="12" hidden="0" customWidth="1"/>
    <x:col min="16" max="16" width="35" hidden="0" customWidth="1"/>
    <x:col min="17" max="17" width="12" hidden="0" customWidth="1"/>
    <x:col min="18" max="18" width="12" hidden="0" customWidth="1"/>
    <x:col min="19" max="19" width="26" hidden="0" customWidth="1"/>
  </x:cols>
  <x:sheetData>
    <x:row r="1">
      <x:c r="A1" s="10" t="str">
        <x:v>Invoice #</x:v>
      </x:c>
      <x:c r="B1" s="10" t="str">
        <x:v>Invoice Date</x:v>
      </x:c>
      <x:c r="C1" s="10" t="str">
        <x:v>Order #</x:v>
      </x:c>
      <x:c r="D1" s="10" t="str">
        <x:v>Page</x:v>
      </x:c>
      <x:c r="E1" s="10" t="str">
        <x:v>Account</x:v>
      </x:c>
      <x:c r="F1" s="10" t="str">
        <x:v>Job</x:v>
      </x:c>
      <x:c r="G1" s="10" t="str">
        <x:v>Ship To / Property</x:v>
      </x:c>
      <x:c r="H1" s="10" t="str">
        <x:v>Customer PO</x:v>
      </x:c>
      <x:c r="I1" s="10" t="str">
        <x:v>Qty</x:v>
      </x:c>
      <x:c r="J1" s="10" t="str">
        <x:v>UM</x:v>
      </x:c>
      <x:c r="K1" s="10" t="str">
        <x:v>Item #</x:v>
      </x:c>
      <x:c r="L1" s="10" t="str">
        <x:v>Description</x:v>
      </x:c>
      <x:c r="M1" s="10" t="str">
        <x:v>Category</x:v>
      </x:c>
      <x:c r="N1" s="10" t="str">
        <x:v>Unit Price</x:v>
      </x:c>
      <x:c r="O1" s="10" t="str">
        <x:v>Line Amount</x:v>
      </x:c>
      <x:c r="P1" s="10" t="str">
        <x:v>Notes</x:v>
      </x:c>
      <x:c r="Q1" s="10" t="str">
        <x:v>Calc Amount</x:v>
      </x:c>
      <x:c r="R1" s="10" t="str">
        <x:v>Amount Diff</x:v>
      </x:c>
      <x:c r="S1" s="10" t="str">
        <x:v>Price Source</x:v>
      </x:c>
    </x:row>
    <x:row r="2">
      <x:c r="A2" s="11" t="str">
        <x:v>2509-111629</x:v>
      </x:c>
      <x:c r="B2" s="14" t="n">
        <x:v>45912</x:v>
      </x:c>
      <x:c r="C2" s="11" t="str">
        <x:v>2509-310304</x:v>
      </x:c>
      <x:c r="D2" s="11" t="str">
        <x:v>1 of 1</x:v>
      </x:c>
      <x:c r="E2" s="11" t="str">
        <x:v>3003115</x:v>
      </x:c>
      <x:c r="F2" s="11" t="str">
        <x:v>6</x:v>
      </x:c>
      <x:c r="G2" s="11" t="str">
        <x:v>GAMEZ RESIDENCE / SOUTH TEXAS BUILDERS / 6218 MILE 14 1/2 N RD / MCALLEN TX 78541</x:v>
      </x:c>
      <x:c r="H2" s="11" t="str">
        <x:v>3RD DROP (RAFTERS)</x:v>
      </x:c>
      <x:c r="I2" s="16" t="n">
        <x:v>3</x:v>
      </x:c>
      <x:c r="J2" s="11" t="str">
        <x:v>EACH</x:v>
      </x:c>
      <x:c r="K2" s="11" t="str">
        <x:v>10824</x:v>
      </x:c>
      <x:c r="L2" s="11" t="str">
        <x:v>2 x 8-24 #2 SPF/HF/YP/FJ LUMBER</x:v>
      </x:c>
      <x:c r="M2" s="11" t="str">
        <x:v>Material</x:v>
      </x:c>
      <x:c r="N2" s="18" t="n">
        <x:v>37.79</x:v>
      </x:c>
      <x:c r="O2" s="18" t="n">
        <x:v>113.37</x:v>
      </x:c>
      <x:c r="P2" s="11" t="str"/>
      <x:c r="Q2" s="18" t="n">
        <x:f>I2*N2</x:f>
        <x:v>113.37</x:v>
      </x:c>
      <x:c r="R2" s="18" t="n">
        <x:f>O2-Q2</x:f>
        <x:v>0</x:v>
      </x:c>
      <x:c r="S2" s="11" t="str">
        <x:v>Extracted from uploaded invoice image</x:v>
      </x:c>
    </x:row>
    <x:row r="3">
      <x:c r="A3" s="11" t="str">
        <x:v>2509-111629</x:v>
      </x:c>
      <x:c r="B3" s="14" t="n">
        <x:v>45912</x:v>
      </x:c>
      <x:c r="C3" s="11" t="str">
        <x:v>2509-310304</x:v>
      </x:c>
      <x:c r="D3" s="11" t="str">
        <x:v>1 of 1</x:v>
      </x:c>
      <x:c r="E3" s="11" t="str">
        <x:v>3003115</x:v>
      </x:c>
      <x:c r="F3" s="11" t="str">
        <x:v>6</x:v>
      </x:c>
      <x:c r="G3" s="11" t="str">
        <x:v>GAMEZ RESIDENCE / SOUTH TEXAS BUILDERS / 6218 MILE 14 1/2 N RD / MCALLEN TX 78541</x:v>
      </x:c>
      <x:c r="H3" s="11" t="str">
        <x:v>3RD DROP (RAFTERS)</x:v>
      </x:c>
      <x:c r="I3" s="16" t="n">
        <x:v>3</x:v>
      </x:c>
      <x:c r="J3" s="11" t="str">
        <x:v>EACH</x:v>
      </x:c>
      <x:c r="K3" s="11" t="str">
        <x:v>10820</x:v>
      </x:c>
      <x:c r="L3" s="11" t="str">
        <x:v>2 x 8-20 #2 SPF/HF/Y LUMBER</x:v>
      </x:c>
      <x:c r="M3" s="11" t="str">
        <x:v>Material</x:v>
      </x:c>
      <x:c r="N3" s="18" t="n">
        <x:v>15.49</x:v>
      </x:c>
      <x:c r="O3" s="18" t="n">
        <x:v>46.47</x:v>
      </x:c>
      <x:c r="P3" s="11" t="str"/>
      <x:c r="Q3" s="18" t="n">
        <x:f>I3*N3</x:f>
        <x:v>46.47</x:v>
      </x:c>
      <x:c r="R3" s="18" t="n">
        <x:f>O3-Q3</x:f>
        <x:v>0</x:v>
      </x:c>
      <x:c r="S3" s="11" t="str">
        <x:v>Extracted from uploaded invoice image</x:v>
      </x:c>
    </x:row>
    <x:row r="4">
      <x:c r="A4" s="11" t="str">
        <x:v>2509-111629</x:v>
      </x:c>
      <x:c r="B4" s="14" t="n">
        <x:v>45912</x:v>
      </x:c>
      <x:c r="C4" s="11" t="str">
        <x:v>2509-310304</x:v>
      </x:c>
      <x:c r="D4" s="11" t="str">
        <x:v>1 of 1</x:v>
      </x:c>
      <x:c r="E4" s="11" t="str">
        <x:v>3003115</x:v>
      </x:c>
      <x:c r="F4" s="11" t="str">
        <x:v>6</x:v>
      </x:c>
      <x:c r="G4" s="11" t="str">
        <x:v>GAMEZ RESIDENCE / SOUTH TEXAS BUILDERS / 6218 MILE 14 1/2 N RD / MCALLEN TX 78541</x:v>
      </x:c>
      <x:c r="H4" s="11" t="str">
        <x:v>3RD DROP (RAFTERS)</x:v>
      </x:c>
      <x:c r="I4" s="16" t="n">
        <x:v>5</x:v>
      </x:c>
      <x:c r="J4" s="11" t="str">
        <x:v>EACH</x:v>
      </x:c>
      <x:c r="K4" s="11" t="str">
        <x:v>10818</x:v>
      </x:c>
      <x:c r="L4" s="11" t="str">
        <x:v>2 x 8-18 #2 SPF/HF/YP LUMBER</x:v>
      </x:c>
      <x:c r="M4" s="11" t="str">
        <x:v>Material</x:v>
      </x:c>
      <x:c r="N4" s="18" t="n">
        <x:v>14.19</x:v>
      </x:c>
      <x:c r="O4" s="18" t="n">
        <x:v>70.95</x:v>
      </x:c>
      <x:c r="P4" s="11" t="str"/>
      <x:c r="Q4" s="18" t="n">
        <x:f>I4*N4</x:f>
        <x:v>70.95</x:v>
      </x:c>
      <x:c r="R4" s="18" t="n">
        <x:f>O4-Q4</x:f>
        <x:v>0</x:v>
      </x:c>
      <x:c r="S4" s="11" t="str">
        <x:v>Extracted from uploaded invoice image</x:v>
      </x:c>
    </x:row>
    <x:row r="5">
      <x:c r="A5" s="11" t="str">
        <x:v>2509-111629</x:v>
      </x:c>
      <x:c r="B5" s="14" t="n">
        <x:v>45912</x:v>
      </x:c>
      <x:c r="C5" s="11" t="str">
        <x:v>2509-310304</x:v>
      </x:c>
      <x:c r="D5" s="11" t="str">
        <x:v>1 of 1</x:v>
      </x:c>
      <x:c r="E5" s="11" t="str">
        <x:v>3003115</x:v>
      </x:c>
      <x:c r="F5" s="11" t="str">
        <x:v>6</x:v>
      </x:c>
      <x:c r="G5" s="11" t="str">
        <x:v>GAMEZ RESIDENCE / SOUTH TEXAS BUILDERS / 6218 MILE 14 1/2 N RD / MCALLEN TX 78541</x:v>
      </x:c>
      <x:c r="H5" s="11" t="str">
        <x:v>3RD DROP (RAFTERS)</x:v>
      </x:c>
      <x:c r="I5" s="16" t="n">
        <x:v>5</x:v>
      </x:c>
      <x:c r="J5" s="11" t="str">
        <x:v>EACH</x:v>
      </x:c>
      <x:c r="K5" s="11" t="str">
        <x:v>10816</x:v>
      </x:c>
      <x:c r="L5" s="11" t="str">
        <x:v>2 x 8-16 #2 SPF HF/YP LUMBER</x:v>
      </x:c>
      <x:c r="M5" s="11" t="str">
        <x:v>Material</x:v>
      </x:c>
      <x:c r="N5" s="18" t="n">
        <x:v>12.99</x:v>
      </x:c>
      <x:c r="O5" s="18" t="n">
        <x:v>64.95</x:v>
      </x:c>
      <x:c r="P5" s="11" t="str"/>
      <x:c r="Q5" s="18" t="n">
        <x:f>I5*N5</x:f>
        <x:v>64.95</x:v>
      </x:c>
      <x:c r="R5" s="18" t="n">
        <x:f>O5-Q5</x:f>
        <x:v>0</x:v>
      </x:c>
      <x:c r="S5" s="11" t="str">
        <x:v>Extracted from uploaded invoice image</x:v>
      </x:c>
    </x:row>
    <x:row r="6">
      <x:c r="A6" s="11" t="str">
        <x:v>2509-111629</x:v>
      </x:c>
      <x:c r="B6" s="14" t="n">
        <x:v>45912</x:v>
      </x:c>
      <x:c r="C6" s="11" t="str">
        <x:v>2509-310304</x:v>
      </x:c>
      <x:c r="D6" s="11" t="str">
        <x:v>1 of 1</x:v>
      </x:c>
      <x:c r="E6" s="11" t="str">
        <x:v>3003115</x:v>
      </x:c>
      <x:c r="F6" s="11" t="str">
        <x:v>6</x:v>
      </x:c>
      <x:c r="G6" s="11" t="str">
        <x:v>GAMEZ RESIDENCE / SOUTH TEXAS BUILDERS / 6218 MILE 14 1/2 N RD / MCALLEN TX 78541</x:v>
      </x:c>
      <x:c r="H6" s="11" t="str">
        <x:v>3RD DROP (RAFTERS)</x:v>
      </x:c>
      <x:c r="I6" s="16" t="n">
        <x:v>6</x:v>
      </x:c>
      <x:c r="J6" s="11" t="str">
        <x:v>EACH</x:v>
      </x:c>
      <x:c r="K6" s="11" t="str">
        <x:v>10814</x:v>
      </x:c>
      <x:c r="L6" s="11" t="str">
        <x:v>2 x 8-14 #2 SPF/HF/YP LUMBER</x:v>
      </x:c>
      <x:c r="M6" s="11" t="str">
        <x:v>Material</x:v>
      </x:c>
      <x:c r="N6" s="18" t="n">
        <x:v>10.49</x:v>
      </x:c>
      <x:c r="O6" s="18" t="n">
        <x:v>62.94</x:v>
      </x:c>
      <x:c r="P6" s="11" t="str"/>
      <x:c r="Q6" s="18" t="n">
        <x:f>I6*N6</x:f>
        <x:v>62.94</x:v>
      </x:c>
      <x:c r="R6" s="18" t="n">
        <x:f>O6-Q6</x:f>
        <x:v>0</x:v>
      </x:c>
      <x:c r="S6" s="11" t="str">
        <x:v>Extracted from uploaded invoice image</x:v>
      </x:c>
    </x:row>
    <x:row r="7">
      <x:c r="A7" s="11" t="str">
        <x:v>2509-111629</x:v>
      </x:c>
      <x:c r="B7" s="14" t="n">
        <x:v>45912</x:v>
      </x:c>
      <x:c r="C7" s="11" t="str">
        <x:v>2509-310304</x:v>
      </x:c>
      <x:c r="D7" s="11" t="str">
        <x:v>1 of 1</x:v>
      </x:c>
      <x:c r="E7" s="11" t="str">
        <x:v>3003115</x:v>
      </x:c>
      <x:c r="F7" s="11" t="str">
        <x:v>6</x:v>
      </x:c>
      <x:c r="G7" s="11" t="str">
        <x:v>GAMEZ RESIDENCE / SOUTH TEXAS BUILDERS / 6218 MILE 14 1/2 N RD / MCALLEN TX 78541</x:v>
      </x:c>
      <x:c r="H7" s="11" t="str">
        <x:v>3RD DROP (RAFTERS)</x:v>
      </x:c>
      <x:c r="I7" s="16" t="n">
        <x:v>4</x:v>
      </x:c>
      <x:c r="J7" s="11" t="str">
        <x:v>EACH</x:v>
      </x:c>
      <x:c r="K7" s="11" t="str">
        <x:v>10812</x:v>
      </x:c>
      <x:c r="L7" s="11" t="str">
        <x:v>2 x 8-12 #2 SPF/HF/YP LUMBER</x:v>
      </x:c>
      <x:c r="M7" s="11" t="str">
        <x:v>Material</x:v>
      </x:c>
      <x:c r="N7" s="18" t="n">
        <x:v>8.49</x:v>
      </x:c>
      <x:c r="O7" s="18" t="n">
        <x:v>33.96</x:v>
      </x:c>
      <x:c r="P7" s="11" t="str"/>
      <x:c r="Q7" s="18" t="n">
        <x:f>I7*N7</x:f>
        <x:v>33.96</x:v>
      </x:c>
      <x:c r="R7" s="18" t="n">
        <x:f>O7-Q7</x:f>
        <x:v>0</x:v>
      </x:c>
      <x:c r="S7" s="11" t="str">
        <x:v>Extracted from uploaded invoice image</x:v>
      </x:c>
    </x:row>
    <x:row r="8">
      <x:c r="A8" s="11" t="str">
        <x:v>2509-111629</x:v>
      </x:c>
      <x:c r="B8" s="14" t="n">
        <x:v>45912</x:v>
      </x:c>
      <x:c r="C8" s="11" t="str">
        <x:v>2509-310304</x:v>
      </x:c>
      <x:c r="D8" s="11" t="str">
        <x:v>1 of 1</x:v>
      </x:c>
      <x:c r="E8" s="11" t="str">
        <x:v>3003115</x:v>
      </x:c>
      <x:c r="F8" s="11" t="str">
        <x:v>6</x:v>
      </x:c>
      <x:c r="G8" s="11" t="str">
        <x:v>GAMEZ RESIDENCE / SOUTH TEXAS BUILDERS / 6218 MILE 14 1/2 N RD / MCALLEN TX 78541</x:v>
      </x:c>
      <x:c r="H8" s="11" t="str">
        <x:v>3RD DROP (RAFTERS)</x:v>
      </x:c>
      <x:c r="I8" s="16" t="n">
        <x:v>8</x:v>
      </x:c>
      <x:c r="J8" s="11" t="str">
        <x:v>EACH</x:v>
      </x:c>
      <x:c r="K8" s="11" t="str">
        <x:v>10624</x:v>
      </x:c>
      <x:c r="L8" s="11" t="str">
        <x:v>2 x 6-24 #2 SPF/HF/YP/FJ LUMBER</x:v>
      </x:c>
      <x:c r="M8" s="11" t="str">
        <x:v>Material</x:v>
      </x:c>
      <x:c r="N8" s="18" t="n">
        <x:v>27.99</x:v>
      </x:c>
      <x:c r="O8" s="18" t="n">
        <x:v>223.92</x:v>
      </x:c>
      <x:c r="P8" s="11" t="str"/>
      <x:c r="Q8" s="18" t="n">
        <x:f>I8*N8</x:f>
        <x:v>223.92</x:v>
      </x:c>
      <x:c r="R8" s="18" t="n">
        <x:f>O8-Q8</x:f>
        <x:v>0</x:v>
      </x:c>
      <x:c r="S8" s="11" t="str">
        <x:v>Extracted from uploaded invoice image</x:v>
      </x:c>
    </x:row>
    <x:row r="9">
      <x:c r="A9" s="11" t="str">
        <x:v>2509-111629</x:v>
      </x:c>
      <x:c r="B9" s="14" t="n">
        <x:v>45912</x:v>
      </x:c>
      <x:c r="C9" s="11" t="str">
        <x:v>2509-310304</x:v>
      </x:c>
      <x:c r="D9" s="11" t="str">
        <x:v>1 of 1</x:v>
      </x:c>
      <x:c r="E9" s="11" t="str">
        <x:v>3003115</x:v>
      </x:c>
      <x:c r="F9" s="11" t="str">
        <x:v>6</x:v>
      </x:c>
      <x:c r="G9" s="11" t="str">
        <x:v>GAMEZ RESIDENCE / SOUTH TEXAS BUILDERS / 6218 MILE 14 1/2 N RD / MCALLEN TX 78541</x:v>
      </x:c>
      <x:c r="H9" s="11" t="str">
        <x:v>3RD DROP (RAFTERS)</x:v>
      </x:c>
      <x:c r="I9" s="16" t="n">
        <x:v>8</x:v>
      </x:c>
      <x:c r="J9" s="11" t="str">
        <x:v>EACH</x:v>
      </x:c>
      <x:c r="K9" s="11" t="str">
        <x:v>10622</x:v>
      </x:c>
      <x:c r="L9" s="11" t="str">
        <x:v>2 x 6-22 #2 SPF/HF/YP/FJ LUMBER</x:v>
      </x:c>
      <x:c r="M9" s="11" t="str">
        <x:v>Material</x:v>
      </x:c>
      <x:c r="N9" s="18" t="n">
        <x:v>24.99</x:v>
      </x:c>
      <x:c r="O9" s="18" t="n">
        <x:v>199.92</x:v>
      </x:c>
      <x:c r="P9" s="11" t="str"/>
      <x:c r="Q9" s="18" t="n">
        <x:f>I9*N9</x:f>
        <x:v>199.92</x:v>
      </x:c>
      <x:c r="R9" s="18" t="n">
        <x:f>O9-Q9</x:f>
        <x:v>0</x:v>
      </x:c>
      <x:c r="S9" s="11" t="str">
        <x:v>Extracted from uploaded invoice image</x:v>
      </x:c>
    </x:row>
    <x:row r="10">
      <x:c r="A10" s="11" t="str">
        <x:v>2509-111629</x:v>
      </x:c>
      <x:c r="B10" s="14" t="n">
        <x:v>45912</x:v>
      </x:c>
      <x:c r="C10" s="11" t="str">
        <x:v>2509-310304</x:v>
      </x:c>
      <x:c r="D10" s="11" t="str">
        <x:v>1 of 1</x:v>
      </x:c>
      <x:c r="E10" s="11" t="str">
        <x:v>3003115</x:v>
      </x:c>
      <x:c r="F10" s="11" t="str">
        <x:v>6</x:v>
      </x:c>
      <x:c r="G10" s="11" t="str">
        <x:v>GAMEZ RESIDENCE / SOUTH TEXAS BUILDERS / 6218 MILE 14 1/2 N RD / MCALLEN TX 78541</x:v>
      </x:c>
      <x:c r="H10" s="11" t="str">
        <x:v>3RD DROP (RAFTERS)</x:v>
      </x:c>
      <x:c r="I10" s="16" t="n">
        <x:v>16</x:v>
      </x:c>
      <x:c r="J10" s="11" t="str">
        <x:v>EACH</x:v>
      </x:c>
      <x:c r="K10" s="11" t="str">
        <x:v>10620</x:v>
      </x:c>
      <x:c r="L10" s="11" t="str">
        <x:v>2 x 6-20' #1 YP</x:v>
      </x:c>
      <x:c r="M10" s="11" t="str">
        <x:v>Material</x:v>
      </x:c>
      <x:c r="N10" s="18" t="n">
        <x:v>12.89</x:v>
      </x:c>
      <x:c r="O10" s="18" t="n">
        <x:v>206.24</x:v>
      </x:c>
      <x:c r="P10" s="11" t="str"/>
      <x:c r="Q10" s="18" t="n">
        <x:f>I10*N10</x:f>
        <x:v>206.24</x:v>
      </x:c>
      <x:c r="R10" s="18" t="n">
        <x:f>O10-Q10</x:f>
        <x:v>0</x:v>
      </x:c>
      <x:c r="S10" s="11" t="str">
        <x:v>Extracted from uploaded invoice image</x:v>
      </x:c>
    </x:row>
    <x:row r="11">
      <x:c r="A11" s="11" t="str">
        <x:v>2509-111629</x:v>
      </x:c>
      <x:c r="B11" s="14" t="n">
        <x:v>45912</x:v>
      </x:c>
      <x:c r="C11" s="11" t="str">
        <x:v>2509-310304</x:v>
      </x:c>
      <x:c r="D11" s="11" t="str">
        <x:v>1 of 1</x:v>
      </x:c>
      <x:c r="E11" s="11" t="str">
        <x:v>3003115</x:v>
      </x:c>
      <x:c r="F11" s="11" t="str">
        <x:v>6</x:v>
      </x:c>
      <x:c r="G11" s="11" t="str">
        <x:v>GAMEZ RESIDENCE / SOUTH TEXAS BUILDERS / 6218 MILE 14 1/2 N RD / MCALLEN TX 78541</x:v>
      </x:c>
      <x:c r="H11" s="11" t="str">
        <x:v>3RD DROP (RAFTERS)</x:v>
      </x:c>
      <x:c r="I11" s="16" t="n">
        <x:v>40</x:v>
      </x:c>
      <x:c r="J11" s="11" t="str">
        <x:v>EACH</x:v>
      </x:c>
      <x:c r="K11" s="11" t="str">
        <x:v>10618</x:v>
      </x:c>
      <x:c r="L11" s="11" t="str">
        <x:v>2 x 6-18' #1 YP</x:v>
      </x:c>
      <x:c r="M11" s="11" t="str">
        <x:v>Material</x:v>
      </x:c>
      <x:c r="N11" s="18" t="n">
        <x:v>11.49</x:v>
      </x:c>
      <x:c r="O11" s="18" t="n">
        <x:v>459.6</x:v>
      </x:c>
      <x:c r="P11" s="11" t="str"/>
      <x:c r="Q11" s="18" t="n">
        <x:f>I11*N11</x:f>
        <x:v>459.6</x:v>
      </x:c>
      <x:c r="R11" s="18" t="n">
        <x:f>O11-Q11</x:f>
        <x:v>0</x:v>
      </x:c>
      <x:c r="S11" s="11" t="str">
        <x:v>Extracted from uploaded invoice image</x:v>
      </x:c>
    </x:row>
    <x:row r="12">
      <x:c r="A12" s="11" t="str">
        <x:v>2509-111629</x:v>
      </x:c>
      <x:c r="B12" s="14" t="n">
        <x:v>45912</x:v>
      </x:c>
      <x:c r="C12" s="11" t="str">
        <x:v>2509-310304</x:v>
      </x:c>
      <x:c r="D12" s="11" t="str">
        <x:v>1 of 1</x:v>
      </x:c>
      <x:c r="E12" s="11" t="str">
        <x:v>3003115</x:v>
      </x:c>
      <x:c r="F12" s="11" t="str">
        <x:v>6</x:v>
      </x:c>
      <x:c r="G12" s="11" t="str">
        <x:v>GAMEZ RESIDENCE / SOUTH TEXAS BUILDERS / 6218 MILE 14 1/2 N RD / MCALLEN TX 78541</x:v>
      </x:c>
      <x:c r="H12" s="11" t="str">
        <x:v>3RD DROP (RAFTERS)</x:v>
      </x:c>
      <x:c r="I12" s="16" t="n">
        <x:v>60</x:v>
      </x:c>
      <x:c r="J12" s="11" t="str">
        <x:v>EACH</x:v>
      </x:c>
      <x:c r="K12" s="11" t="str">
        <x:v>10616</x:v>
      </x:c>
      <x:c r="L12" s="11" t="str">
        <x:v>2 x 6-16' #1 YP</x:v>
      </x:c>
      <x:c r="M12" s="11" t="str">
        <x:v>Material</x:v>
      </x:c>
      <x:c r="N12" s="18" t="n">
        <x:v>9.79</x:v>
      </x:c>
      <x:c r="O12" s="18" t="n">
        <x:v>587.4</x:v>
      </x:c>
      <x:c r="P12" s="11" t="str"/>
      <x:c r="Q12" s="18" t="n">
        <x:f>I12*N12</x:f>
        <x:v>587.4</x:v>
      </x:c>
      <x:c r="R12" s="18" t="n">
        <x:f>O12-Q12</x:f>
        <x:v>0</x:v>
      </x:c>
      <x:c r="S12" s="11" t="str">
        <x:v>Extracted from uploaded invoice image</x:v>
      </x:c>
    </x:row>
    <x:row r="13">
      <x:c r="A13" s="11" t="str">
        <x:v>2509-111629</x:v>
      </x:c>
      <x:c r="B13" s="14" t="n">
        <x:v>45912</x:v>
      </x:c>
      <x:c r="C13" s="11" t="str">
        <x:v>2509-310304</x:v>
      </x:c>
      <x:c r="D13" s="11" t="str">
        <x:v>1 of 1</x:v>
      </x:c>
      <x:c r="E13" s="11" t="str">
        <x:v>3003115</x:v>
      </x:c>
      <x:c r="F13" s="11" t="str">
        <x:v>6</x:v>
      </x:c>
      <x:c r="G13" s="11" t="str">
        <x:v>GAMEZ RESIDENCE / SOUTH TEXAS BUILDERS / 6218 MILE 14 1/2 N RD / MCALLEN TX 78541</x:v>
      </x:c>
      <x:c r="H13" s="11" t="str">
        <x:v>3RD DROP (RAFTERS)</x:v>
      </x:c>
      <x:c r="I13" s="16" t="n">
        <x:v>30</x:v>
      </x:c>
      <x:c r="J13" s="11" t="str">
        <x:v>EACH</x:v>
      </x:c>
      <x:c r="K13" s="11" t="str">
        <x:v>10614</x:v>
      </x:c>
      <x:c r="L13" s="11" t="str">
        <x:v>2 x 6-14' #1 YP</x:v>
      </x:c>
      <x:c r="M13" s="11" t="str">
        <x:v>Material</x:v>
      </x:c>
      <x:c r="N13" s="18" t="n">
        <x:v>8.79</x:v>
      </x:c>
      <x:c r="O13" s="18" t="n">
        <x:v>263.7</x:v>
      </x:c>
      <x:c r="P13" s="11" t="str"/>
      <x:c r="Q13" s="18" t="n">
        <x:f>I13*N13</x:f>
        <x:v>263.7</x:v>
      </x:c>
      <x:c r="R13" s="18" t="n">
        <x:f>O13-Q13</x:f>
        <x:v>0</x:v>
      </x:c>
      <x:c r="S13" s="11" t="str">
        <x:v>Extracted from uploaded invoice image</x:v>
      </x:c>
    </x:row>
    <x:row r="14">
      <x:c r="A14" s="11" t="str">
        <x:v>2509-111629</x:v>
      </x:c>
      <x:c r="B14" s="14" t="n">
        <x:v>45912</x:v>
      </x:c>
      <x:c r="C14" s="11" t="str">
        <x:v>2509-310304</x:v>
      </x:c>
      <x:c r="D14" s="11" t="str">
        <x:v>1 of 1</x:v>
      </x:c>
      <x:c r="E14" s="11" t="str">
        <x:v>3003115</x:v>
      </x:c>
      <x:c r="F14" s="11" t="str">
        <x:v>6</x:v>
      </x:c>
      <x:c r="G14" s="11" t="str">
        <x:v>GAMEZ RESIDENCE / SOUTH TEXAS BUILDERS / 6218 MILE 14 1/2 N RD / MCALLEN TX 78541</x:v>
      </x:c>
      <x:c r="H14" s="11" t="str">
        <x:v>3RD DROP (RAFTERS)</x:v>
      </x:c>
      <x:c r="I14" s="16" t="n">
        <x:v>30</x:v>
      </x:c>
      <x:c r="J14" s="11" t="str">
        <x:v>EACH</x:v>
      </x:c>
      <x:c r="K14" s="11" t="str">
        <x:v>10612</x:v>
      </x:c>
      <x:c r="L14" s="11" t="str">
        <x:v>2 x 6-12' #1 YP</x:v>
      </x:c>
      <x:c r="M14" s="11" t="str">
        <x:v>Material</x:v>
      </x:c>
      <x:c r="N14" s="18" t="n">
        <x:v>7.79</x:v>
      </x:c>
      <x:c r="O14" s="18" t="n">
        <x:v>233.7</x:v>
      </x:c>
      <x:c r="P14" s="11" t="str"/>
      <x:c r="Q14" s="18" t="n">
        <x:f>I14*N14</x:f>
        <x:v>233.7</x:v>
      </x:c>
      <x:c r="R14" s="18" t="n">
        <x:f>O14-Q14</x:f>
        <x:v>0</x:v>
      </x:c>
      <x:c r="S14" s="11" t="str">
        <x:v>Extracted from uploaded invoice image</x:v>
      </x:c>
    </x:row>
    <x:row r="15">
      <x:c r="A15" s="11" t="str">
        <x:v>2509-111629</x:v>
      </x:c>
      <x:c r="B15" s="14" t="n">
        <x:v>45912</x:v>
      </x:c>
      <x:c r="C15" s="11" t="str">
        <x:v>2509-310304</x:v>
      </x:c>
      <x:c r="D15" s="11" t="str">
        <x:v>1 of 1</x:v>
      </x:c>
      <x:c r="E15" s="11" t="str">
        <x:v>3003115</x:v>
      </x:c>
      <x:c r="F15" s="11" t="str">
        <x:v>6</x:v>
      </x:c>
      <x:c r="G15" s="11" t="str">
        <x:v>GAMEZ RESIDENCE / SOUTH TEXAS BUILDERS / 6218 MILE 14 1/2 N RD / MCALLEN TX 78541</x:v>
      </x:c>
      <x:c r="H15" s="11" t="str">
        <x:v>3RD DROP (RAFTERS)</x:v>
      </x:c>
      <x:c r="I15" s="16" t="n">
        <x:v>20</x:v>
      </x:c>
      <x:c r="J15" s="11" t="str">
        <x:v>EACH</x:v>
      </x:c>
      <x:c r="K15" s="11" t="str">
        <x:v>10610</x:v>
      </x:c>
      <x:c r="L15" s="11" t="str">
        <x:v>2 x 6-10' #1 YP</x:v>
      </x:c>
      <x:c r="M15" s="11" t="str">
        <x:v>Material</x:v>
      </x:c>
      <x:c r="N15" s="18" t="n">
        <x:v>6.29</x:v>
      </x:c>
      <x:c r="O15" s="18" t="n">
        <x:v>125.8</x:v>
      </x:c>
      <x:c r="P15" s="11" t="str"/>
      <x:c r="Q15" s="18" t="n">
        <x:f>I15*N15</x:f>
        <x:v>125.8</x:v>
      </x:c>
      <x:c r="R15" s="18" t="n">
        <x:f>O15-Q15</x:f>
        <x:v>0</x:v>
      </x:c>
      <x:c r="S15" s="11" t="str">
        <x:v>Extracted from uploaded invoice image</x:v>
      </x:c>
    </x:row>
    <x:row r="16">
      <x:c r="A16" s="11" t="str">
        <x:v>2509-111629</x:v>
      </x:c>
      <x:c r="B16" s="14" t="n">
        <x:v>45912</x:v>
      </x:c>
      <x:c r="C16" s="11" t="str">
        <x:v>2509-310304</x:v>
      </x:c>
      <x:c r="D16" s="11" t="str">
        <x:v>1 of 1</x:v>
      </x:c>
      <x:c r="E16" s="11" t="str">
        <x:v>3003115</x:v>
      </x:c>
      <x:c r="F16" s="11" t="str">
        <x:v>6</x:v>
      </x:c>
      <x:c r="G16" s="11" t="str">
        <x:v>GAMEZ RESIDENCE / SOUTH TEXAS BUILDERS / 6218 MILE 14 1/2 N RD / MCALLEN TX 78541</x:v>
      </x:c>
      <x:c r="H16" s="11" t="str">
        <x:v>3RD DROP (RAFTERS)</x:v>
      </x:c>
      <x:c r="I16" s="16" t="n">
        <x:v>20</x:v>
      </x:c>
      <x:c r="J16" s="11" t="str">
        <x:v>EACH</x:v>
      </x:c>
      <x:c r="K16" s="11" t="str">
        <x:v>1068</x:v>
      </x:c>
      <x:c r="L16" s="11" t="str">
        <x:v>2 x 6-8' #1 YP</x:v>
      </x:c>
      <x:c r="M16" s="11" t="str">
        <x:v>Material</x:v>
      </x:c>
      <x:c r="N16" s="18" t="n">
        <x:v>4.99</x:v>
      </x:c>
      <x:c r="O16" s="18" t="n">
        <x:v>99.8</x:v>
      </x:c>
      <x:c r="P16" s="11" t="str"/>
      <x:c r="Q16" s="18" t="n">
        <x:f>I16*N16</x:f>
        <x:v>99.80000000000001</x:v>
      </x:c>
      <x:c r="R16" s="18" t="n">
        <x:f>O16-Q16</x:f>
        <x:v>-1.4210854715202004e-14</x:v>
      </x:c>
      <x:c r="S16" s="11" t="str">
        <x:v>Extracted from uploaded invoice image</x:v>
      </x:c>
    </x:row>
    <x:row r="17">
      <x:c r="A17" s="11" t="str">
        <x:v>2509-111629</x:v>
      </x:c>
      <x:c r="B17" s="14" t="n">
        <x:v>45912</x:v>
      </x:c>
      <x:c r="C17" s="11" t="str">
        <x:v>2509-310304</x:v>
      </x:c>
      <x:c r="D17" s="11" t="str">
        <x:v>1 of 1</x:v>
      </x:c>
      <x:c r="E17" s="11" t="str">
        <x:v>3003115</x:v>
      </x:c>
      <x:c r="F17" s="11" t="str">
        <x:v>6</x:v>
      </x:c>
      <x:c r="G17" s="11" t="str">
        <x:v>GAMEZ RESIDENCE / SOUTH TEXAS BUILDERS / 6218 MILE 14 1/2 N RD / MCALLEN TX 78541</x:v>
      </x:c>
      <x:c r="H17" s="11" t="str">
        <x:v>3RD DROP (RAFTERS)</x:v>
      </x:c>
      <x:c r="I17" s="16" t="n">
        <x:v>21</x:v>
      </x:c>
      <x:c r="J17" s="11" t="str">
        <x:v>EACH</x:v>
      </x:c>
      <x:c r="K17" s="11" t="str">
        <x:v>1518ST</x:v>
      </x:c>
      <x:c r="L17" s="11" t="str">
        <x:v>1 x 8 - 16' SMART TRIM</x:v>
      </x:c>
      <x:c r="M17" s="11" t="str">
        <x:v>Material</x:v>
      </x:c>
      <x:c r="N17" s="18" t="n">
        <x:v>34.49</x:v>
      </x:c>
      <x:c r="O17" s="18" t="n">
        <x:v>724.29</x:v>
      </x:c>
      <x:c r="P17" s="11" t="str"/>
      <x:c r="Q17" s="18" t="n">
        <x:f>I17*N17</x:f>
        <x:v>724.2900000000001</x:v>
      </x:c>
      <x:c r="R17" s="18" t="n">
        <x:f>O17-Q17</x:f>
        <x:v>-1.1368683772161603e-13</x:v>
      </x:c>
      <x:c r="S17" s="11" t="str">
        <x:v>Extracted from uploaded invoice image</x:v>
      </x:c>
    </x:row>
    <x:row r="18">
      <x:c r="A18" s="11" t="str">
        <x:v>2509-111629</x:v>
      </x:c>
      <x:c r="B18" s="14" t="n">
        <x:v>45912</x:v>
      </x:c>
      <x:c r="C18" s="11" t="str">
        <x:v>2509-310304</x:v>
      </x:c>
      <x:c r="D18" s="11" t="str">
        <x:v>1 of 1</x:v>
      </x:c>
      <x:c r="E18" s="11" t="str">
        <x:v>3003115</x:v>
      </x:c>
      <x:c r="F18" s="11" t="str">
        <x:v>6</x:v>
      </x:c>
      <x:c r="G18" s="11" t="str">
        <x:v>GAMEZ RESIDENCE / SOUTH TEXAS BUILDERS / 6218 MILE 14 1/2 N RD / MCALLEN TX 78541</x:v>
      </x:c>
      <x:c r="H18" s="11" t="str">
        <x:v>3RD DROP (RAFTERS)</x:v>
      </x:c>
      <x:c r="I18" s="16" t="n">
        <x:v>21</x:v>
      </x:c>
      <x:c r="J18" s="11" t="str">
        <x:v>EACH</x:v>
      </x:c>
      <x:c r="K18" s="11" t="str">
        <x:v>1512ST</x:v>
      </x:c>
      <x:c r="L18" s="11" t="str">
        <x:v>1 x 2 - 16' SMART TRIM</x:v>
      </x:c>
      <x:c r="M18" s="11" t="str">
        <x:v>Material</x:v>
      </x:c>
      <x:c r="N18" s="18" t="n">
        <x:v>8.39</x:v>
      </x:c>
      <x:c r="O18" s="18" t="n">
        <x:v>176.19</x:v>
      </x:c>
      <x:c r="P18" s="11" t="str"/>
      <x:c r="Q18" s="18" t="n">
        <x:f>I18*N18</x:f>
        <x:v>176.19</x:v>
      </x:c>
      <x:c r="R18" s="18" t="n">
        <x:f>O18-Q18</x:f>
        <x:v>0</x:v>
      </x:c>
      <x:c r="S18" s="11" t="str">
        <x:v>Extracted from uploaded invoice image</x:v>
      </x:c>
    </x:row>
    <x:row r="19">
      <x:c r="A19" s="11" t="str">
        <x:v>2509-111629</x:v>
      </x:c>
      <x:c r="B19" s="14" t="n">
        <x:v>45912</x:v>
      </x:c>
      <x:c r="C19" s="11" t="str">
        <x:v>2509-310304</x:v>
      </x:c>
      <x:c r="D19" s="11" t="str">
        <x:v>1 of 1</x:v>
      </x:c>
      <x:c r="E19" s="11" t="str">
        <x:v>3003115</x:v>
      </x:c>
      <x:c r="F19" s="11" t="str">
        <x:v>6</x:v>
      </x:c>
      <x:c r="G19" s="11" t="str">
        <x:v>GAMEZ RESIDENCE / SOUTH TEXAS BUILDERS / 6218 MILE 14 1/2 N RD / MCALLEN TX 78541</x:v>
      </x:c>
      <x:c r="H19" s="11" t="str">
        <x:v>3RD DROP (RAFTERS)</x:v>
      </x:c>
      <x:c r="I19" s="16" t="n">
        <x:v>18</x:v>
      </x:c>
      <x:c r="J19" s="11" t="str">
        <x:v>EA</x:v>
      </x:c>
      <x:c r="K19" s="11" t="str">
        <x:v>1616SSNV</x:v>
      </x:c>
      <x:c r="L19" s="11" t="str">
        <x:v>16" x 16' TEXTURED SMART SOFFIT (NON-VENTED)</x:v>
      </x:c>
      <x:c r="M19" s="11" t="str">
        <x:v>Material</x:v>
      </x:c>
      <x:c r="N19" s="18" t="n">
        <x:v>39.99</x:v>
      </x:c>
      <x:c r="O19" s="18" t="n">
        <x:v>719.82</x:v>
      </x:c>
      <x:c r="P19" s="11" t="str"/>
      <x:c r="Q19" s="18" t="n">
        <x:f>I19*N19</x:f>
        <x:v>719.82</x:v>
      </x:c>
      <x:c r="R19" s="18" t="n">
        <x:f>O19-Q19</x:f>
        <x:v>0</x:v>
      </x:c>
      <x:c r="S19" s="11" t="str">
        <x:v>Extracted from uploaded invoice image</x:v>
      </x:c>
    </x:row>
    <x:row r="20">
      <x:c r="A20" s="11" t="str">
        <x:v>2509-111629</x:v>
      </x:c>
      <x:c r="B20" s="14" t="n">
        <x:v>45912</x:v>
      </x:c>
      <x:c r="C20" s="11" t="str">
        <x:v>2509-310304</x:v>
      </x:c>
      <x:c r="D20" s="11" t="str">
        <x:v>1 of 1</x:v>
      </x:c>
      <x:c r="E20" s="11" t="str">
        <x:v>3003115</x:v>
      </x:c>
      <x:c r="F20" s="11" t="str">
        <x:v>6</x:v>
      </x:c>
      <x:c r="G20" s="11" t="str">
        <x:v>GAMEZ RESIDENCE / SOUTH TEXAS BUILDERS / 6218 MILE 14 1/2 N RD / MCALLEN TX 78541</x:v>
      </x:c>
      <x:c r="H20" s="11" t="str">
        <x:v>3RD DROP (RAFTERS)</x:v>
      </x:c>
      <x:c r="I20" s="16" t="n">
        <x:v>1</x:v>
      </x:c>
      <x:c r="J20" s="11" t="str">
        <x:v>EACH</x:v>
      </x:c>
      <x:c r="K20" s="11" t="str">
        <x:v>1</x:v>
      </x:c>
      <x:c r="L20" s="11" t="str">
        <x:v>DELIVERY CHARGE - ZONE 1 (&lt;8)</x:v>
      </x:c>
      <x:c r="M20" s="11" t="str">
        <x:v>Delivery</x:v>
      </x:c>
      <x:c r="N20" s="18" t="n">
        <x:v>45</x:v>
      </x:c>
      <x:c r="O20" s="18" t="n">
        <x:v>45</x:v>
      </x:c>
      <x:c r="P20" s="11" t="str"/>
      <x:c r="Q20" s="18" t="n">
        <x:f>I20*N20</x:f>
        <x:v>45</x:v>
      </x:c>
      <x:c r="R20" s="18" t="n">
        <x:f>O20-Q20</x:f>
        <x:v>0</x:v>
      </x:c>
      <x:c r="S20" s="11" t="str">
        <x:v>Extracted from uploaded invoice image</x:v>
      </x:c>
    </x:row>
    <x:row r="21">
      <x:c r="A21" s="11" t="str">
        <x:v>2509-110047</x:v>
      </x:c>
      <x:c r="B21" s="14" t="n">
        <x:v>45911</x:v>
      </x:c>
      <x:c r="C21" s="11" t="str">
        <x:v>2509-306881</x:v>
      </x:c>
      <x:c r="D21" s="11" t="str">
        <x:v>1 of 1</x:v>
      </x:c>
      <x:c r="E21" s="11" t="str">
        <x:v>3003115</x:v>
      </x:c>
      <x:c r="F21" s="11" t="str">
        <x:v>6</x:v>
      </x:c>
      <x:c r="G21" s="11" t="str">
        <x:v>GAMEZ RESIDENCE / SOUTH TEXAS BUILDERS / 6218 MILE 14 1/2 N RD / MCALLEN TX 78541</x:v>
      </x:c>
      <x:c r="H21" s="11" t="str">
        <x:v>7AM 9/11/25 2ND DROP</x:v>
      </x:c>
      <x:c r="I21" s="16" t="n">
        <x:v>48</x:v>
      </x:c>
      <x:c r="J21" s="11" t="str">
        <x:v>EA</x:v>
      </x:c>
      <x:c r="K21" s="11" t="str">
        <x:v>25169</x:v>
      </x:c>
      <x:c r="L21" s="11" t="str">
        <x:v>4 x 9 7/16" WINDBRACE OSB (48" x 109")</x:v>
      </x:c>
      <x:c r="M21" s="11" t="str">
        <x:v>Material</x:v>
      </x:c>
      <x:c r="N21" s="18" t="n">
        <x:v>11.99</x:v>
      </x:c>
      <x:c r="O21" s="18" t="n">
        <x:v>575.52</x:v>
      </x:c>
      <x:c r="P21" s="11" t="str"/>
      <x:c r="Q21" s="18" t="n">
        <x:f>I21*N21</x:f>
        <x:v>575.52</x:v>
      </x:c>
      <x:c r="R21" s="18" t="n">
        <x:f>O21-Q21</x:f>
        <x:v>0</x:v>
      </x:c>
      <x:c r="S21" s="11" t="str">
        <x:v>Extracted from uploaded invoice image</x:v>
      </x:c>
    </x:row>
    <x:row r="22">
      <x:c r="A22" s="11" t="str">
        <x:v>2509-110047</x:v>
      </x:c>
      <x:c r="B22" s="14" t="n">
        <x:v>45911</x:v>
      </x:c>
      <x:c r="C22" s="11" t="str">
        <x:v>2509-306881</x:v>
      </x:c>
      <x:c r="D22" s="11" t="str">
        <x:v>1 of 1</x:v>
      </x:c>
      <x:c r="E22" s="11" t="str">
        <x:v>3003115</x:v>
      </x:c>
      <x:c r="F22" s="11" t="str">
        <x:v>6</x:v>
      </x:c>
      <x:c r="G22" s="11" t="str">
        <x:v>GAMEZ RESIDENCE / SOUTH TEXAS BUILDERS / 6218 MILE 14 1/2 N RD / MCALLEN TX 78541</x:v>
      </x:c>
      <x:c r="H22" s="11" t="str">
        <x:v>7AM 9/11/25 2ND DROP</x:v>
      </x:c>
      <x:c r="I22" s="16" t="n">
        <x:v>30</x:v>
      </x:c>
      <x:c r="J22" s="11" t="str">
        <x:v>EACH</x:v>
      </x:c>
      <x:c r="K22" s="11" t="str">
        <x:v>251610</x:v>
      </x:c>
      <x:c r="L22" s="11" t="str">
        <x:v>4 x 10 7/16" WINDBRACE OSB (48" x 121")</x:v>
      </x:c>
      <x:c r="M22" s="11" t="str">
        <x:v>Material</x:v>
      </x:c>
      <x:c r="N22" s="18" t="n">
        <x:v>13.19</x:v>
      </x:c>
      <x:c r="O22" s="18" t="n">
        <x:v>395.7</x:v>
      </x:c>
      <x:c r="P22" s="11" t="str"/>
      <x:c r="Q22" s="18" t="n">
        <x:f>I22*N22</x:f>
        <x:v>395.7</x:v>
      </x:c>
      <x:c r="R22" s="18" t="n">
        <x:f>O22-Q22</x:f>
        <x:v>0</x:v>
      </x:c>
      <x:c r="S22" s="11" t="str">
        <x:v>Extracted from uploaded invoice image</x:v>
      </x:c>
    </x:row>
    <x:row r="23">
      <x:c r="A23" s="11" t="str">
        <x:v>2509-110047</x:v>
      </x:c>
      <x:c r="B23" s="14" t="n">
        <x:v>45911</x:v>
      </x:c>
      <x:c r="C23" s="11" t="str">
        <x:v>2509-306881</x:v>
      </x:c>
      <x:c r="D23" s="11" t="str">
        <x:v>1 of 1</x:v>
      </x:c>
      <x:c r="E23" s="11" t="str">
        <x:v>3003115</x:v>
      </x:c>
      <x:c r="F23" s="11" t="str">
        <x:v>6</x:v>
      </x:c>
      <x:c r="G23" s="11" t="str">
        <x:v>GAMEZ RESIDENCE / SOUTH TEXAS BUILDERS / 6218 MILE 14 1/2 N RD / MCALLEN TX 78541</x:v>
      </x:c>
      <x:c r="H23" s="11" t="str">
        <x:v>7AM 9/11/25 2ND DROP</x:v>
      </x:c>
      <x:c r="I23" s="16" t="n">
        <x:v>2</x:v>
      </x:c>
      <x:c r="J23" s="11" t="str">
        <x:v>EACH</x:v>
      </x:c>
      <x:c r="K23" s="11" t="str">
        <x:v>101216</x:v>
      </x:c>
      <x:c r="L23" s="11" t="str">
        <x:v>2 x 12-16 #2 SPF/HF/YP LUMBER</x:v>
      </x:c>
      <x:c r="M23" s="11" t="str">
        <x:v>Material</x:v>
      </x:c>
      <x:c r="N23" s="18" t="n">
        <x:v>25.19</x:v>
      </x:c>
      <x:c r="O23" s="18" t="n">
        <x:v>50.38</x:v>
      </x:c>
      <x:c r="P23" s="11" t="str"/>
      <x:c r="Q23" s="18" t="n">
        <x:f>I23*N23</x:f>
        <x:v>50.38</x:v>
      </x:c>
      <x:c r="R23" s="18" t="n">
        <x:f>O23-Q23</x:f>
        <x:v>0</x:v>
      </x:c>
      <x:c r="S23" s="11" t="str">
        <x:v>Extracted from uploaded invoice image</x:v>
      </x:c>
    </x:row>
    <x:row r="24">
      <x:c r="A24" s="11" t="str">
        <x:v>2509-110047</x:v>
      </x:c>
      <x:c r="B24" s="14" t="n">
        <x:v>45911</x:v>
      </x:c>
      <x:c r="C24" s="11" t="str">
        <x:v>2509-306881</x:v>
      </x:c>
      <x:c r="D24" s="11" t="str">
        <x:v>1 of 1</x:v>
      </x:c>
      <x:c r="E24" s="11" t="str">
        <x:v>3003115</x:v>
      </x:c>
      <x:c r="F24" s="11" t="str">
        <x:v>6</x:v>
      </x:c>
      <x:c r="G24" s="11" t="str">
        <x:v>GAMEZ RESIDENCE / SOUTH TEXAS BUILDERS / 6218 MILE 14 1/2 N RD / MCALLEN TX 78541</x:v>
      </x:c>
      <x:c r="H24" s="11" t="str">
        <x:v>7AM 9/11/25 2ND DROP</x:v>
      </x:c>
      <x:c r="I24" s="16" t="n">
        <x:v>12</x:v>
      </x:c>
      <x:c r="J24" s="11" t="str">
        <x:v>EACH</x:v>
      </x:c>
      <x:c r="K24" s="11" t="str">
        <x:v>101212</x:v>
      </x:c>
      <x:c r="L24" s="11" t="str">
        <x:v>2 x 12-12 #2 SPF/HF/YP LUMBER</x:v>
      </x:c>
      <x:c r="M24" s="11" t="str">
        <x:v>Material</x:v>
      </x:c>
      <x:c r="N24" s="18" t="n">
        <x:v>16.19</x:v>
      </x:c>
      <x:c r="O24" s="18" t="n">
        <x:v>194.28</x:v>
      </x:c>
      <x:c r="P24" s="11" t="str"/>
      <x:c r="Q24" s="18" t="n">
        <x:f>I24*N24</x:f>
        <x:v>194.28000000000003</x:v>
      </x:c>
      <x:c r="R24" s="18" t="n">
        <x:f>O24-Q24</x:f>
        <x:v>-2.842170943040401e-14</x:v>
      </x:c>
      <x:c r="S24" s="11" t="str">
        <x:v>Extracted from uploaded invoice image</x:v>
      </x:c>
    </x:row>
    <x:row r="25">
      <x:c r="A25" s="11" t="str">
        <x:v>2509-110047</x:v>
      </x:c>
      <x:c r="B25" s="14" t="n">
        <x:v>45911</x:v>
      </x:c>
      <x:c r="C25" s="11" t="str">
        <x:v>2509-306881</x:v>
      </x:c>
      <x:c r="D25" s="11" t="str">
        <x:v>1 of 1</x:v>
      </x:c>
      <x:c r="E25" s="11" t="str">
        <x:v>3003115</x:v>
      </x:c>
      <x:c r="F25" s="11" t="str">
        <x:v>6</x:v>
      </x:c>
      <x:c r="G25" s="11" t="str">
        <x:v>GAMEZ RESIDENCE / SOUTH TEXAS BUILDERS / 6218 MILE 14 1/2 N RD / MCALLEN TX 78541</x:v>
      </x:c>
      <x:c r="H25" s="11" t="str">
        <x:v>7AM 9/11/25 2ND DROP</x:v>
      </x:c>
      <x:c r="I25" s="16" t="n">
        <x:v>2</x:v>
      </x:c>
      <x:c r="J25" s="11" t="str">
        <x:v>EACH</x:v>
      </x:c>
      <x:c r="K25" s="11" t="str">
        <x:v>101210</x:v>
      </x:c>
      <x:c r="L25" s="11" t="str">
        <x:v>2 x 12-10 #2 SPF/HF/YP LUMBER</x:v>
      </x:c>
      <x:c r="M25" s="11" t="str">
        <x:v>Material</x:v>
      </x:c>
      <x:c r="N25" s="18" t="n">
        <x:v>14.19</x:v>
      </x:c>
      <x:c r="O25" s="18" t="n">
        <x:v>28.38</x:v>
      </x:c>
      <x:c r="P25" s="11" t="str"/>
      <x:c r="Q25" s="18" t="n">
        <x:f>I25*N25</x:f>
        <x:v>28.38</x:v>
      </x:c>
      <x:c r="R25" s="18" t="n">
        <x:f>O25-Q25</x:f>
        <x:v>0</x:v>
      </x:c>
      <x:c r="S25" s="11" t="str">
        <x:v>Extracted from uploaded invoice image</x:v>
      </x:c>
    </x:row>
    <x:row r="26">
      <x:c r="A26" s="11" t="str">
        <x:v>2509-110047</x:v>
      </x:c>
      <x:c r="B26" s="14" t="n">
        <x:v>45911</x:v>
      </x:c>
      <x:c r="C26" s="11" t="str">
        <x:v>2509-306881</x:v>
      </x:c>
      <x:c r="D26" s="11" t="str">
        <x:v>1 of 1</x:v>
      </x:c>
      <x:c r="E26" s="11" t="str">
        <x:v>3003115</x:v>
      </x:c>
      <x:c r="F26" s="11" t="str">
        <x:v>6</x:v>
      </x:c>
      <x:c r="G26" s="11" t="str">
        <x:v>GAMEZ RESIDENCE / SOUTH TEXAS BUILDERS / 6218 MILE 14 1/2 N RD / MCALLEN TX 78541</x:v>
      </x:c>
      <x:c r="H26" s="11" t="str">
        <x:v>7AM 9/11/25 2ND DROP</x:v>
      </x:c>
      <x:c r="I26" s="16" t="n">
        <x:v>4</x:v>
      </x:c>
      <x:c r="J26" s="11" t="str">
        <x:v>EACH</x:v>
      </x:c>
      <x:c r="K26" s="11" t="str">
        <x:v>10128</x:v>
      </x:c>
      <x:c r="L26" s="11" t="str">
        <x:v>2 x 12-8 #2 SPF/HF/YP LUMBER</x:v>
      </x:c>
      <x:c r="M26" s="11" t="str">
        <x:v>Material</x:v>
      </x:c>
      <x:c r="N26" s="18" t="n">
        <x:v>11.19</x:v>
      </x:c>
      <x:c r="O26" s="18" t="n">
        <x:v>44.76</x:v>
      </x:c>
      <x:c r="P26" s="11" t="str"/>
      <x:c r="Q26" s="18" t="n">
        <x:f>I26*N26</x:f>
        <x:v>44.76</x:v>
      </x:c>
      <x:c r="R26" s="18" t="n">
        <x:f>O26-Q26</x:f>
        <x:v>0</x:v>
      </x:c>
      <x:c r="S26" s="11" t="str">
        <x:v>Extracted from uploaded invoice image</x:v>
      </x:c>
    </x:row>
    <x:row r="27">
      <x:c r="A27" s="11" t="str">
        <x:v>2509-110047</x:v>
      </x:c>
      <x:c r="B27" s="14" t="n">
        <x:v>45911</x:v>
      </x:c>
      <x:c r="C27" s="11" t="str">
        <x:v>2509-306881</x:v>
      </x:c>
      <x:c r="D27" s="11" t="str">
        <x:v>1 of 1</x:v>
      </x:c>
      <x:c r="E27" s="11" t="str">
        <x:v>3003115</x:v>
      </x:c>
      <x:c r="F27" s="11" t="str">
        <x:v>6</x:v>
      </x:c>
      <x:c r="G27" s="11" t="str">
        <x:v>GAMEZ RESIDENCE / SOUTH TEXAS BUILDERS / 6218 MILE 14 1/2 N RD / MCALLEN TX 78541</x:v>
      </x:c>
      <x:c r="H27" s="11" t="str">
        <x:v>7AM 9/11/25 2ND DROP</x:v>
      </x:c>
      <x:c r="I27" s="16" t="n">
        <x:v>4</x:v>
      </x:c>
      <x:c r="J27" s="11" t="str">
        <x:v>EACH</x:v>
      </x:c>
      <x:c r="K27" s="11" t="str">
        <x:v>101220</x:v>
      </x:c>
      <x:c r="L27" s="11" t="str">
        <x:v>2 x 12-20 #2 SPF/HF/YP LUMBER</x:v>
      </x:c>
      <x:c r="M27" s="11" t="str">
        <x:v>Material</x:v>
      </x:c>
      <x:c r="N27" s="18" t="n">
        <x:v>41.19</x:v>
      </x:c>
      <x:c r="O27" s="18" t="n">
        <x:v>164.76</x:v>
      </x:c>
      <x:c r="P27" s="11" t="str"/>
      <x:c r="Q27" s="18" t="n">
        <x:f>I27*N27</x:f>
        <x:v>164.76</x:v>
      </x:c>
      <x:c r="R27" s="18" t="n">
        <x:f>O27-Q27</x:f>
        <x:v>0</x:v>
      </x:c>
      <x:c r="S27" s="11" t="str">
        <x:v>Extracted from uploaded invoice image</x:v>
      </x:c>
    </x:row>
    <x:row r="28">
      <x:c r="A28" s="11" t="str">
        <x:v>2509-110047</x:v>
      </x:c>
      <x:c r="B28" s="14" t="n">
        <x:v>45911</x:v>
      </x:c>
      <x:c r="C28" s="11" t="str">
        <x:v>2509-306881</x:v>
      </x:c>
      <x:c r="D28" s="11" t="str">
        <x:v>1 of 1</x:v>
      </x:c>
      <x:c r="E28" s="11" t="str">
        <x:v>3003115</x:v>
      </x:c>
      <x:c r="F28" s="11" t="str">
        <x:v>6</x:v>
      </x:c>
      <x:c r="G28" s="11" t="str">
        <x:v>GAMEZ RESIDENCE / SOUTH TEXAS BUILDERS / 6218 MILE 14 1/2 N RD / MCALLEN TX 78541</x:v>
      </x:c>
      <x:c r="H28" s="11" t="str">
        <x:v>7AM 9/11/25 2ND DROP</x:v>
      </x:c>
      <x:c r="I28" s="16" t="n">
        <x:v>2</x:v>
      </x:c>
      <x:c r="J28" s="11" t="str">
        <x:v>EA</x:v>
      </x:c>
      <x:c r="K28" s="11" t="str">
        <x:v>LVL1616</x:v>
      </x:c>
      <x:c r="L28" s="11" t="str">
        <x:v>1 3/4" x 16" LVL - 16'</x:v>
      </x:c>
      <x:c r="M28" s="11" t="str">
        <x:v>Material</x:v>
      </x:c>
      <x:c r="N28" s="18" t="n">
        <x:v>183</x:v>
      </x:c>
      <x:c r="O28" s="18" t="n">
        <x:v>366</x:v>
      </x:c>
      <x:c r="P28" s="11" t="str"/>
      <x:c r="Q28" s="18" t="n">
        <x:f>I28*N28</x:f>
        <x:v>366</x:v>
      </x:c>
      <x:c r="R28" s="18" t="n">
        <x:f>O28-Q28</x:f>
        <x:v>0</x:v>
      </x:c>
      <x:c r="S28" s="11" t="str">
        <x:v>Extracted from uploaded invoice image</x:v>
      </x:c>
    </x:row>
    <x:row r="29">
      <x:c r="A29" s="11" t="str">
        <x:v>2509-110047</x:v>
      </x:c>
      <x:c r="B29" s="14" t="n">
        <x:v>45911</x:v>
      </x:c>
      <x:c r="C29" s="11" t="str">
        <x:v>2509-306881</x:v>
      </x:c>
      <x:c r="D29" s="11" t="str">
        <x:v>1 of 1</x:v>
      </x:c>
      <x:c r="E29" s="11" t="str">
        <x:v>3003115</x:v>
      </x:c>
      <x:c r="F29" s="11" t="str">
        <x:v>6</x:v>
      </x:c>
      <x:c r="G29" s="11" t="str">
        <x:v>GAMEZ RESIDENCE / SOUTH TEXAS BUILDERS / 6218 MILE 14 1/2 N RD / MCALLEN TX 78541</x:v>
      </x:c>
      <x:c r="H29" s="11" t="str">
        <x:v>7AM 9/11/25 2ND DROP</x:v>
      </x:c>
      <x:c r="I29" s="16" t="n">
        <x:v>2</x:v>
      </x:c>
      <x:c r="J29" s="11" t="str">
        <x:v>EA</x:v>
      </x:c>
      <x:c r="K29" s="11" t="str">
        <x:v>LVL1620</x:v>
      </x:c>
      <x:c r="L29" s="11" t="str">
        <x:v>1 3/4" x 16" LVL - 20'</x:v>
      </x:c>
      <x:c r="M29" s="11" t="str">
        <x:v>Material</x:v>
      </x:c>
      <x:c r="N29" s="18" t="n">
        <x:v>229</x:v>
      </x:c>
      <x:c r="O29" s="18" t="n">
        <x:v>458</x:v>
      </x:c>
      <x:c r="P29" s="11" t="str"/>
      <x:c r="Q29" s="18" t="n">
        <x:f>I29*N29</x:f>
        <x:v>458</x:v>
      </x:c>
      <x:c r="R29" s="18" t="n">
        <x:f>O29-Q29</x:f>
        <x:v>0</x:v>
      </x:c>
      <x:c r="S29" s="11" t="str">
        <x:v>Extracted from uploaded invoice image</x:v>
      </x:c>
    </x:row>
    <x:row r="30">
      <x:c r="A30" s="11" t="str">
        <x:v>2509-110047</x:v>
      </x:c>
      <x:c r="B30" s="14" t="n">
        <x:v>45911</x:v>
      </x:c>
      <x:c r="C30" s="11" t="str">
        <x:v>2509-306881</x:v>
      </x:c>
      <x:c r="D30" s="11" t="str">
        <x:v>1 of 1</x:v>
      </x:c>
      <x:c r="E30" s="11" t="str">
        <x:v>3003115</x:v>
      </x:c>
      <x:c r="F30" s="11" t="str">
        <x:v>6</x:v>
      </x:c>
      <x:c r="G30" s="11" t="str">
        <x:v>GAMEZ RESIDENCE / SOUTH TEXAS BUILDERS / 6218 MILE 14 1/2 N RD / MCALLEN TX 78541</x:v>
      </x:c>
      <x:c r="H30" s="11" t="str">
        <x:v>7AM 9/11/25 2ND DROP</x:v>
      </x:c>
      <x:c r="I30" s="16" t="n">
        <x:v>50</x:v>
      </x:c>
      <x:c r="J30" s="11" t="str">
        <x:v>EACH</x:v>
      </x:c>
      <x:c r="K30" s="11" t="str">
        <x:v>10616</x:v>
      </x:c>
      <x:c r="L30" s="11" t="str">
        <x:v>2 x 6-16' #1 YP</x:v>
      </x:c>
      <x:c r="M30" s="11" t="str">
        <x:v>Material</x:v>
      </x:c>
      <x:c r="N30" s="18" t="n">
        <x:v>9.99</x:v>
      </x:c>
      <x:c r="O30" s="18" t="n">
        <x:v>499.5</x:v>
      </x:c>
      <x:c r="P30" s="11" t="str"/>
      <x:c r="Q30" s="18" t="n">
        <x:f>I30*N30</x:f>
        <x:v>499.5</x:v>
      </x:c>
      <x:c r="R30" s="18" t="n">
        <x:f>O30-Q30</x:f>
        <x:v>0</x:v>
      </x:c>
      <x:c r="S30" s="11" t="str">
        <x:v>Extracted from uploaded invoice image</x:v>
      </x:c>
    </x:row>
    <x:row r="31">
      <x:c r="A31" s="11" t="str">
        <x:v>2509-110047</x:v>
      </x:c>
      <x:c r="B31" s="14" t="n">
        <x:v>45911</x:v>
      </x:c>
      <x:c r="C31" s="11" t="str">
        <x:v>2509-306881</x:v>
      </x:c>
      <x:c r="D31" s="11" t="str">
        <x:v>1 of 1</x:v>
      </x:c>
      <x:c r="E31" s="11" t="str">
        <x:v>3003115</x:v>
      </x:c>
      <x:c r="F31" s="11" t="str">
        <x:v>6</x:v>
      </x:c>
      <x:c r="G31" s="11" t="str">
        <x:v>GAMEZ RESIDENCE / SOUTH TEXAS BUILDERS / 6218 MILE 14 1/2 N RD / MCALLEN TX 78541</x:v>
      </x:c>
      <x:c r="H31" s="11" t="str">
        <x:v>7AM 9/11/25 2ND DROP</x:v>
      </x:c>
      <x:c r="I31" s="16" t="n">
        <x:v>50</x:v>
      </x:c>
      <x:c r="J31" s="11" t="str">
        <x:v>EACH</x:v>
      </x:c>
      <x:c r="K31" s="11" t="str">
        <x:v>10614</x:v>
      </x:c>
      <x:c r="L31" s="11" t="str">
        <x:v>2 x 6-14' #1 YP</x:v>
      </x:c>
      <x:c r="M31" s="11" t="str">
        <x:v>Material</x:v>
      </x:c>
      <x:c r="N31" s="18" t="n">
        <x:v>8.79</x:v>
      </x:c>
      <x:c r="O31" s="18" t="n">
        <x:v>439.5</x:v>
      </x:c>
      <x:c r="P31" s="11" t="str"/>
      <x:c r="Q31" s="18" t="n">
        <x:f>I31*N31</x:f>
        <x:v>439.49999999999994</x:v>
      </x:c>
      <x:c r="R31" s="18" t="n">
        <x:f>O31-Q31</x:f>
        <x:v>5.684341886080802e-14</x:v>
      </x:c>
      <x:c r="S31" s="11" t="str">
        <x:v>Extracted from uploaded invoice image</x:v>
      </x:c>
    </x:row>
    <x:row r="32">
      <x:c r="A32" s="11" t="str">
        <x:v>2509-110047</x:v>
      </x:c>
      <x:c r="B32" s="14" t="n">
        <x:v>45911</x:v>
      </x:c>
      <x:c r="C32" s="11" t="str">
        <x:v>2509-306881</x:v>
      </x:c>
      <x:c r="D32" s="11" t="str">
        <x:v>1 of 1</x:v>
      </x:c>
      <x:c r="E32" s="11" t="str">
        <x:v>3003115</x:v>
      </x:c>
      <x:c r="F32" s="11" t="str">
        <x:v>6</x:v>
      </x:c>
      <x:c r="G32" s="11" t="str">
        <x:v>GAMEZ RESIDENCE / SOUTH TEXAS BUILDERS / 6218 MILE 14 1/2 N RD / MCALLEN TX 78541</x:v>
      </x:c>
      <x:c r="H32" s="11" t="str">
        <x:v>7AM 9/11/25 2ND DROP</x:v>
      </x:c>
      <x:c r="I32" s="16" t="n">
        <x:v>50</x:v>
      </x:c>
      <x:c r="J32" s="11" t="str">
        <x:v>EACH</x:v>
      </x:c>
      <x:c r="K32" s="11" t="str">
        <x:v>10612</x:v>
      </x:c>
      <x:c r="L32" s="11" t="str">
        <x:v>2 x 6-12' #1 YP</x:v>
      </x:c>
      <x:c r="M32" s="11" t="str">
        <x:v>Material</x:v>
      </x:c>
      <x:c r="N32" s="18" t="n">
        <x:v>8.09</x:v>
      </x:c>
      <x:c r="O32" s="18" t="n">
        <x:v>404.5</x:v>
      </x:c>
      <x:c r="P32" s="11" t="str"/>
      <x:c r="Q32" s="18" t="n">
        <x:f>I32*N32</x:f>
        <x:v>404.5</x:v>
      </x:c>
      <x:c r="R32" s="18" t="n">
        <x:f>O32-Q32</x:f>
        <x:v>0</x:v>
      </x:c>
      <x:c r="S32" s="11" t="str">
        <x:v>Extracted from uploaded invoice image</x:v>
      </x:c>
    </x:row>
    <x:row r="33">
      <x:c r="A33" s="11" t="str">
        <x:v>2509-110047</x:v>
      </x:c>
      <x:c r="B33" s="14" t="n">
        <x:v>45911</x:v>
      </x:c>
      <x:c r="C33" s="11" t="str">
        <x:v>2509-306881</x:v>
      </x:c>
      <x:c r="D33" s="11" t="str">
        <x:v>1 of 1</x:v>
      </x:c>
      <x:c r="E33" s="11" t="str">
        <x:v>3003115</x:v>
      </x:c>
      <x:c r="F33" s="11" t="str">
        <x:v>6</x:v>
      </x:c>
      <x:c r="G33" s="11" t="str">
        <x:v>GAMEZ RESIDENCE / SOUTH TEXAS BUILDERS / 6218 MILE 14 1/2 N RD / MCALLEN TX 78541</x:v>
      </x:c>
      <x:c r="H33" s="11" t="str">
        <x:v>7AM 9/11/25 2ND DROP</x:v>
      </x:c>
      <x:c r="I33" s="16" t="n">
        <x:v>1</x:v>
      </x:c>
      <x:c r="J33" s="11" t="str">
        <x:v>EACH</x:v>
      </x:c>
      <x:c r="K33" s="11" t="str">
        <x:v>1</x:v>
      </x:c>
      <x:c r="L33" s="11" t="str">
        <x:v>DELIVERY CHARGE - ZONE 1 (&lt;8)</x:v>
      </x:c>
      <x:c r="M33" s="11" t="str">
        <x:v>Delivery</x:v>
      </x:c>
      <x:c r="N33" s="18" t="n">
        <x:v>45</x:v>
      </x:c>
      <x:c r="O33" s="18" t="n">
        <x:v>45</x:v>
      </x:c>
      <x:c r="P33" s="11" t="str"/>
      <x:c r="Q33" s="18" t="n">
        <x:f>I33*N33</x:f>
        <x:v>45</x:v>
      </x:c>
      <x:c r="R33" s="18" t="n">
        <x:f>O33-Q33</x:f>
        <x:v>0</x:v>
      </x:c>
      <x:c r="S33" s="11" t="str">
        <x:v>Extracted from uploaded invoice image</x:v>
      </x:c>
    </x:row>
    <x:row r="34">
      <x:c r="A34" s="11" t="str">
        <x:v>2509-105909</x:v>
      </x:c>
      <x:c r="B34" s="14" t="n">
        <x:v>45910</x:v>
      </x:c>
      <x:c r="C34" s="11" t="str">
        <x:v>2509-396962</x:v>
      </x:c>
      <x:c r="D34" s="11" t="str">
        <x:v>1 of 2 (page 2 missing)</x:v>
      </x:c>
      <x:c r="E34" s="11" t="str">
        <x:v>3003115</x:v>
      </x:c>
      <x:c r="F34" s="11" t="str">
        <x:v>6</x:v>
      </x:c>
      <x:c r="G34" s="11" t="str">
        <x:v>GAMEZ RESIDENCE / SOUTH TEXAS BUILDERS / 6218 MILE 14 1/2 N RD / MCALLEN TX 78541</x:v>
      </x:c>
      <x:c r="H34" s="11" t="str">
        <x:v>7AM OK TMZ WED. 9/10</x:v>
      </x:c>
      <x:c r="I34" s="16" t="n">
        <x:v>20</x:v>
      </x:c>
      <x:c r="J34" s="11" t="str">
        <x:v>EACH</x:v>
      </x:c>
      <x:c r="K34" s="11" t="str">
        <x:v>10616</x:v>
      </x:c>
      <x:c r="L34" s="11" t="str">
        <x:v>2 x 6-16' #1 YP</x:v>
      </x:c>
      <x:c r="M34" s="11" t="str">
        <x:v>Material</x:v>
      </x:c>
      <x:c r="N34" s="18" t="n">
        <x:v>9.99</x:v>
      </x:c>
      <x:c r="O34" s="18" t="n">
        <x:v>199.8</x:v>
      </x:c>
      <x:c r="P34" s="11" t="str">
        <x:v>Invoice image shows page 1 of 2 only; upload page 2 to complete this invoice.</x:v>
      </x:c>
      <x:c r="Q34" s="18" t="n">
        <x:f>I34*N34</x:f>
        <x:v>199.8</x:v>
      </x:c>
      <x:c r="R34" s="18" t="n">
        <x:f>O34-Q34</x:f>
        <x:v>0</x:v>
      </x:c>
      <x:c r="S34" s="11" t="str">
        <x:v>Extracted from uploaded invoice image</x:v>
      </x:c>
    </x:row>
    <x:row r="35">
      <x:c r="A35" s="11" t="str">
        <x:v>2509-105909</x:v>
      </x:c>
      <x:c r="B35" s="14" t="n">
        <x:v>45910</x:v>
      </x:c>
      <x:c r="C35" s="11" t="str">
        <x:v>2509-396962</x:v>
      </x:c>
      <x:c r="D35" s="11" t="str">
        <x:v>1 of 2 (page 2 missing)</x:v>
      </x:c>
      <x:c r="E35" s="11" t="str">
        <x:v>3003115</x:v>
      </x:c>
      <x:c r="F35" s="11" t="str">
        <x:v>6</x:v>
      </x:c>
      <x:c r="G35" s="11" t="str">
        <x:v>GAMEZ RESIDENCE / SOUTH TEXAS BUILDERS / 6218 MILE 14 1/2 N RD / MCALLEN TX 78541</x:v>
      </x:c>
      <x:c r="H35" s="11" t="str">
        <x:v>7AM OK TMZ WED. 9/10</x:v>
      </x:c>
      <x:c r="I35" s="16" t="n">
        <x:v>72</x:v>
      </x:c>
      <x:c r="J35" s="11" t="str">
        <x:v>EACH</x:v>
      </x:c>
      <x:c r="K35" s="11" t="str">
        <x:v>10416</x:v>
      </x:c>
      <x:c r="L35" s="11" t="str">
        <x:v>2 x 4-16 #2/BTR SPF</x:v>
      </x:c>
      <x:c r="M35" s="11" t="str">
        <x:v>Material</x:v>
      </x:c>
      <x:c r="N35" s="18" t="n">
        <x:v>8.99</x:v>
      </x:c>
      <x:c r="O35" s="18" t="n">
        <x:v>647.28</x:v>
      </x:c>
      <x:c r="P35" s="11" t="str">
        <x:v>Invoice image shows page 1 of 2 only; upload page 2 to complete this invoice.</x:v>
      </x:c>
      <x:c r="Q35" s="18" t="n">
        <x:f>I35*N35</x:f>
        <x:v>647.28</x:v>
      </x:c>
      <x:c r="R35" s="18" t="n">
        <x:f>O35-Q35</x:f>
        <x:v>0</x:v>
      </x:c>
      <x:c r="S35" s="11" t="str">
        <x:v>Extracted from uploaded invoice image</x:v>
      </x:c>
    </x:row>
    <x:row r="36">
      <x:c r="A36" s="11" t="str">
        <x:v>2509-105909</x:v>
      </x:c>
      <x:c r="B36" s="14" t="n">
        <x:v>45910</x:v>
      </x:c>
      <x:c r="C36" s="11" t="str">
        <x:v>2509-396962</x:v>
      </x:c>
      <x:c r="D36" s="11" t="str">
        <x:v>1 of 2 (page 2 missing)</x:v>
      </x:c>
      <x:c r="E36" s="11" t="str">
        <x:v>3003115</x:v>
      </x:c>
      <x:c r="F36" s="11" t="str">
        <x:v>6</x:v>
      </x:c>
      <x:c r="G36" s="11" t="str">
        <x:v>GAMEZ RESIDENCE / SOUTH TEXAS BUILDERS / 6218 MILE 14 1/2 N RD / MCALLEN TX 78541</x:v>
      </x:c>
      <x:c r="H36" s="11" t="str">
        <x:v>7AM OK TMZ WED. 9/10</x:v>
      </x:c>
      <x:c r="I36" s="16" t="n">
        <x:v>72</x:v>
      </x:c>
      <x:c r="J36" s="11" t="str">
        <x:v>EACH</x:v>
      </x:c>
      <x:c r="K36" s="11" t="str">
        <x:v>10414</x:v>
      </x:c>
      <x:c r="L36" s="11" t="str">
        <x:v>2 x 4-14 #2/BTR SPF</x:v>
      </x:c>
      <x:c r="M36" s="11" t="str">
        <x:v>Material</x:v>
      </x:c>
      <x:c r="N36" s="18" t="n">
        <x:v>7.19</x:v>
      </x:c>
      <x:c r="O36" s="18" t="n">
        <x:v>517.68</x:v>
      </x:c>
      <x:c r="P36" s="11" t="str">
        <x:v>Invoice image shows page 1 of 2 only; upload page 2 to complete this invoice.</x:v>
      </x:c>
      <x:c r="Q36" s="18" t="n">
        <x:f>I36*N36</x:f>
        <x:v>517.6800000000001</x:v>
      </x:c>
      <x:c r="R36" s="18" t="n">
        <x:f>O36-Q36</x:f>
        <x:v>-1.1368683772161603e-13</x:v>
      </x:c>
      <x:c r="S36" s="11" t="str">
        <x:v>Extracted from uploaded invoice image</x:v>
      </x:c>
    </x:row>
    <x:row r="37">
      <x:c r="A37" s="11" t="str">
        <x:v>2509-105909</x:v>
      </x:c>
      <x:c r="B37" s="14" t="n">
        <x:v>45910</x:v>
      </x:c>
      <x:c r="C37" s="11" t="str">
        <x:v>2509-396962</x:v>
      </x:c>
      <x:c r="D37" s="11" t="str">
        <x:v>1 of 2 (page 2 missing)</x:v>
      </x:c>
      <x:c r="E37" s="11" t="str">
        <x:v>3003115</x:v>
      </x:c>
      <x:c r="F37" s="11" t="str">
        <x:v>6</x:v>
      </x:c>
      <x:c r="G37" s="11" t="str">
        <x:v>GAMEZ RESIDENCE / SOUTH TEXAS BUILDERS / 6218 MILE 14 1/2 N RD / MCALLEN TX 78541</x:v>
      </x:c>
      <x:c r="H37" s="11" t="str">
        <x:v>7AM OK TMZ WED. 9/10</x:v>
      </x:c>
      <x:c r="I37" s="16" t="n">
        <x:v>64</x:v>
      </x:c>
      <x:c r="J37" s="11" t="str">
        <x:v>EACH</x:v>
      </x:c>
      <x:c r="K37" s="11" t="str">
        <x:v>10412</x:v>
      </x:c>
      <x:c r="L37" s="11" t="str">
        <x:v>2 x 4-12 #2/BTR SPF</x:v>
      </x:c>
      <x:c r="M37" s="11" t="str">
        <x:v>Material</x:v>
      </x:c>
      <x:c r="N37" s="18" t="n">
        <x:v>7.59</x:v>
      </x:c>
      <x:c r="O37" s="18" t="n">
        <x:v>485.76</x:v>
      </x:c>
      <x:c r="P37" s="11" t="str">
        <x:v>Invoice image shows page 1 of 2 only; upload page 2 to complete this invoice.</x:v>
      </x:c>
      <x:c r="Q37" s="18" t="n">
        <x:f>I37*N37</x:f>
        <x:v>485.76</x:v>
      </x:c>
      <x:c r="R37" s="18" t="n">
        <x:f>O37-Q37</x:f>
        <x:v>0</x:v>
      </x:c>
      <x:c r="S37" s="11" t="str">
        <x:v>Extracted from uploaded invoice image</x:v>
      </x:c>
    </x:row>
    <x:row r="38">
      <x:c r="A38" s="11" t="str">
        <x:v>2509-105909</x:v>
      </x:c>
      <x:c r="B38" s="14" t="n">
        <x:v>45910</x:v>
      </x:c>
      <x:c r="C38" s="11" t="str">
        <x:v>2509-396962</x:v>
      </x:c>
      <x:c r="D38" s="11" t="str">
        <x:v>1 of 2 (page 2 missing)</x:v>
      </x:c>
      <x:c r="E38" s="11" t="str">
        <x:v>3003115</x:v>
      </x:c>
      <x:c r="F38" s="11" t="str">
        <x:v>6</x:v>
      </x:c>
      <x:c r="G38" s="11" t="str">
        <x:v>GAMEZ RESIDENCE / SOUTH TEXAS BUILDERS / 6218 MILE 14 1/2 N RD / MCALLEN TX 78541</x:v>
      </x:c>
      <x:c r="H38" s="11" t="str">
        <x:v>7AM OK TMZ WED. 9/10</x:v>
      </x:c>
      <x:c r="I38" s="16" t="n">
        <x:v>254</x:v>
      </x:c>
      <x:c r="J38" s="11" t="str">
        <x:v>EACH</x:v>
      </x:c>
      <x:c r="K38" s="11" t="str">
        <x:v>1049</x:v>
      </x:c>
      <x:c r="L38" s="11" t="str">
        <x:v>2 x 4-9 FT PRECUT (104 5/8") #2/BTR STUD LUMBER</x:v>
      </x:c>
      <x:c r="M38" s="11" t="str">
        <x:v>Material</x:v>
      </x:c>
      <x:c r="N38" s="18" t="n">
        <x:v>3.99</x:v>
      </x:c>
      <x:c r="O38" s="18" t="n">
        <x:v>1013.46</x:v>
      </x:c>
      <x:c r="P38" s="11" t="str">
        <x:v>Invoice image shows page 1 of 2 only; upload page 2 to complete this invoice.</x:v>
      </x:c>
      <x:c r="Q38" s="18" t="n">
        <x:f>I38*N38</x:f>
        <x:v>1013.46</x:v>
      </x:c>
      <x:c r="R38" s="18" t="n">
        <x:f>O38-Q38</x:f>
        <x:v>0</x:v>
      </x:c>
      <x:c r="S38" s="11" t="str">
        <x:v>Extracted from uploaded invoice image</x:v>
      </x:c>
    </x:row>
    <x:row r="39">
      <x:c r="A39" s="11" t="str">
        <x:v>2509-105909</x:v>
      </x:c>
      <x:c r="B39" s="14" t="n">
        <x:v>45910</x:v>
      </x:c>
      <x:c r="C39" s="11" t="str">
        <x:v>2509-396962</x:v>
      </x:c>
      <x:c r="D39" s="11" t="str">
        <x:v>1 of 2 (page 2 missing)</x:v>
      </x:c>
      <x:c r="E39" s="11" t="str">
        <x:v>3003115</x:v>
      </x:c>
      <x:c r="F39" s="11" t="str">
        <x:v>6</x:v>
      </x:c>
      <x:c r="G39" s="11" t="str">
        <x:v>GAMEZ RESIDENCE / SOUTH TEXAS BUILDERS / 6218 MILE 14 1/2 N RD / MCALLEN TX 78541</x:v>
      </x:c>
      <x:c r="H39" s="11" t="str">
        <x:v>7AM OK TMZ WED. 9/10</x:v>
      </x:c>
      <x:c r="I39" s="16" t="n">
        <x:v>200</x:v>
      </x:c>
      <x:c r="J39" s="11" t="str">
        <x:v>EACH</x:v>
      </x:c>
      <x:c r="K39" s="11" t="str">
        <x:v>10410P</x:v>
      </x:c>
      <x:c r="L39" s="11" t="str">
        <x:v>2 x 4-10FT PRECUT (116 5/8") #2/BTR STUD LUMBER</x:v>
      </x:c>
      <x:c r="M39" s="11" t="str">
        <x:v>Material</x:v>
      </x:c>
      <x:c r="N39" s="18" t="n">
        <x:v>4.59</x:v>
      </x:c>
      <x:c r="O39" s="18" t="n">
        <x:v>918</x:v>
      </x:c>
      <x:c r="P39" s="11" t="str">
        <x:v>Invoice image shows page 1 of 2 only; upload page 2 to complete this invoice.</x:v>
      </x:c>
      <x:c r="Q39" s="18" t="n">
        <x:f>I39*N39</x:f>
        <x:v>918</x:v>
      </x:c>
      <x:c r="R39" s="18" t="n">
        <x:f>O39-Q39</x:f>
        <x:v>0</x:v>
      </x:c>
      <x:c r="S39" s="11" t="str">
        <x:v>Extracted from uploaded invoice image</x:v>
      </x:c>
    </x:row>
    <x:row r="40">
      <x:c r="A40" s="11" t="str">
        <x:v>2509-105909</x:v>
      </x:c>
      <x:c r="B40" s="14" t="n">
        <x:v>45910</x:v>
      </x:c>
      <x:c r="C40" s="11" t="str">
        <x:v>2509-396962</x:v>
      </x:c>
      <x:c r="D40" s="11" t="str">
        <x:v>1 of 2 (page 2 missing)</x:v>
      </x:c>
      <x:c r="E40" s="11" t="str">
        <x:v>3003115</x:v>
      </x:c>
      <x:c r="F40" s="11" t="str">
        <x:v>6</x:v>
      </x:c>
      <x:c r="G40" s="11" t="str">
        <x:v>GAMEZ RESIDENCE / SOUTH TEXAS BUILDERS / 6218 MILE 14 1/2 N RD / MCALLEN TX 78541</x:v>
      </x:c>
      <x:c r="H40" s="11" t="str">
        <x:v>7AM OK TMZ WED. 9/10</x:v>
      </x:c>
      <x:c r="I40" s="16" t="n">
        <x:v>18</x:v>
      </x:c>
      <x:c r="J40" s="11" t="str">
        <x:v>EACH</x:v>
      </x:c>
      <x:c r="K40" s="11" t="str">
        <x:v>20416</x:v>
      </x:c>
      <x:c r="L40" s="11" t="str">
        <x:v>2 x 4-16' TREATED LUMBER</x:v>
      </x:c>
      <x:c r="M40" s="11" t="str">
        <x:v>Material</x:v>
      </x:c>
      <x:c r="N40" s="18" t="n">
        <x:v>9.99</x:v>
      </x:c>
      <x:c r="O40" s="18" t="n">
        <x:v>179.82</x:v>
      </x:c>
      <x:c r="P40" s="11" t="str">
        <x:v>Invoice image shows page 1 of 2 only; upload page 2 to complete this invoice.</x:v>
      </x:c>
      <x:c r="Q40" s="18" t="n">
        <x:f>I40*N40</x:f>
        <x:v>179.82</x:v>
      </x:c>
      <x:c r="R40" s="18" t="n">
        <x:f>O40-Q40</x:f>
        <x:v>0</x:v>
      </x:c>
      <x:c r="S40" s="11" t="str">
        <x:v>Extracted from uploaded invoice image</x:v>
      </x:c>
    </x:row>
    <x:row r="41">
      <x:c r="A41" s="11" t="str">
        <x:v>2509-105909</x:v>
      </x:c>
      <x:c r="B41" s="14" t="n">
        <x:v>45910</x:v>
      </x:c>
      <x:c r="C41" s="11" t="str">
        <x:v>2509-396962</x:v>
      </x:c>
      <x:c r="D41" s="11" t="str">
        <x:v>1 of 2 (page 2 missing)</x:v>
      </x:c>
      <x:c r="E41" s="11" t="str">
        <x:v>3003115</x:v>
      </x:c>
      <x:c r="F41" s="11" t="str">
        <x:v>6</x:v>
      </x:c>
      <x:c r="G41" s="11" t="str">
        <x:v>GAMEZ RESIDENCE / SOUTH TEXAS BUILDERS / 6218 MILE 14 1/2 N RD / MCALLEN TX 78541</x:v>
      </x:c>
      <x:c r="H41" s="11" t="str">
        <x:v>7AM OK TMZ WED. 9/10</x:v>
      </x:c>
      <x:c r="I41" s="16" t="n">
        <x:v>1</x:v>
      </x:c>
      <x:c r="J41" s="11" t="str">
        <x:v>EACH</x:v>
      </x:c>
      <x:c r="K41" s="11" t="str">
        <x:v>20616</x:v>
      </x:c>
      <x:c r="L41" s="11" t="str">
        <x:v>2 x 6-16' TREATED LUMBER</x:v>
      </x:c>
      <x:c r="M41" s="11" t="str">
        <x:v>Material</x:v>
      </x:c>
      <x:c r="N41" s="18" t="n">
        <x:v>15.49</x:v>
      </x:c>
      <x:c r="O41" s="18" t="n">
        <x:v>15.49</x:v>
      </x:c>
      <x:c r="P41" s="11" t="str">
        <x:v>Invoice image shows page 1 of 2 only; upload page 2 to complete this invoice.</x:v>
      </x:c>
      <x:c r="Q41" s="18" t="n">
        <x:f>I41*N41</x:f>
        <x:v>15.49</x:v>
      </x:c>
      <x:c r="R41" s="18" t="n">
        <x:f>O41-Q41</x:f>
        <x:v>0</x:v>
      </x:c>
      <x:c r="S41" s="11" t="str">
        <x:v>Extracted from uploaded invoice image</x:v>
      </x:c>
    </x:row>
    <x:row r="42">
      <x:c r="A42" s="11" t="str">
        <x:v>2509-105909</x:v>
      </x:c>
      <x:c r="B42" s="14" t="n">
        <x:v>45910</x:v>
      </x:c>
      <x:c r="C42" s="11" t="str">
        <x:v>2509-396962</x:v>
      </x:c>
      <x:c r="D42" s="11" t="str">
        <x:v>1 of 2 (page 2 missing)</x:v>
      </x:c>
      <x:c r="E42" s="11" t="str">
        <x:v>3003115</x:v>
      </x:c>
      <x:c r="F42" s="11" t="str">
        <x:v>6</x:v>
      </x:c>
      <x:c r="G42" s="11" t="str">
        <x:v>GAMEZ RESIDENCE / SOUTH TEXAS BUILDERS / 6218 MILE 14 1/2 N RD / MCALLEN TX 78541</x:v>
      </x:c>
      <x:c r="H42" s="11" t="str">
        <x:v>7AM OK TMZ WED. 9/10</x:v>
      </x:c>
      <x:c r="I42" s="16" t="n">
        <x:v>1</x:v>
      </x:c>
      <x:c r="J42" s="11" t="str">
        <x:v>EACH</x:v>
      </x:c>
      <x:c r="K42" s="11" t="str">
        <x:v>20610</x:v>
      </x:c>
      <x:c r="L42" s="11" t="str">
        <x:v>2 x 6-10' TREATED LUMBER</x:v>
      </x:c>
      <x:c r="M42" s="11" t="str">
        <x:v>Material</x:v>
      </x:c>
      <x:c r="N42" s="18" t="n">
        <x:v>9.59</x:v>
      </x:c>
      <x:c r="O42" s="18" t="n">
        <x:v>9.59</x:v>
      </x:c>
      <x:c r="P42" s="11" t="str">
        <x:v>Invoice image shows page 1 of 2 only; upload page 2 to complete this invoice.</x:v>
      </x:c>
      <x:c r="Q42" s="18" t="n">
        <x:f>I42*N42</x:f>
        <x:v>9.59</x:v>
      </x:c>
      <x:c r="R42" s="18" t="n">
        <x:f>O42-Q42</x:f>
        <x:v>0</x:v>
      </x:c>
      <x:c r="S42" s="11" t="str">
        <x:v>Extracted from uploaded invoice image</x:v>
      </x:c>
    </x:row>
    <x:row r="43">
      <x:c r="A43" s="11" t="str">
        <x:v>2509-105909</x:v>
      </x:c>
      <x:c r="B43" s="14" t="n">
        <x:v>45910</x:v>
      </x:c>
      <x:c r="C43" s="11" t="str">
        <x:v>2509-396962</x:v>
      </x:c>
      <x:c r="D43" s="11" t="str">
        <x:v>1 of 2 (page 2 missing)</x:v>
      </x:c>
      <x:c r="E43" s="11" t="str">
        <x:v>3003115</x:v>
      </x:c>
      <x:c r="F43" s="11" t="str">
        <x:v>6</x:v>
      </x:c>
      <x:c r="G43" s="11" t="str">
        <x:v>GAMEZ RESIDENCE / SOUTH TEXAS BUILDERS / 6218 MILE 14 1/2 N RD / MCALLEN TX 78541</x:v>
      </x:c>
      <x:c r="H43" s="11" t="str">
        <x:v>7AM OK TMZ WED. 9/10</x:v>
      </x:c>
      <x:c r="I43" s="16" t="n">
        <x:v>5</x:v>
      </x:c>
      <x:c r="J43" s="11" t="str">
        <x:v>EACH</x:v>
      </x:c>
      <x:c r="K43" s="11" t="str">
        <x:v>307</x:v>
      </x:c>
      <x:c r="L43" s="11" t="str">
        <x:v>3 1/2" x 50' DOW SILL SEAL</x:v>
      </x:c>
      <x:c r="M43" s="11" t="str">
        <x:v>Material</x:v>
      </x:c>
      <x:c r="N43" s="18" t="n">
        <x:v>4.99</x:v>
      </x:c>
      <x:c r="O43" s="18" t="n">
        <x:v>24.95</x:v>
      </x:c>
      <x:c r="P43" s="11" t="str">
        <x:v>Invoice image shows page 1 of 2 only; upload page 2 to complete this invoice.</x:v>
      </x:c>
      <x:c r="Q43" s="18" t="n">
        <x:f>I43*N43</x:f>
        <x:v>24.950000000000003</x:v>
      </x:c>
      <x:c r="R43" s="18" t="n">
        <x:f>O43-Q43</x:f>
        <x:v>-3.552713678800501e-15</x:v>
      </x:c>
      <x:c r="S43" s="11" t="str">
        <x:v>Extracted from uploaded invoice image</x:v>
      </x:c>
    </x:row>
    <x:row r="44">
      <x:c r="A44" s="11" t="str">
        <x:v>2509-105909</x:v>
      </x:c>
      <x:c r="B44" s="14" t="n">
        <x:v>45910</x:v>
      </x:c>
      <x:c r="C44" s="11" t="str">
        <x:v>2509-396962</x:v>
      </x:c>
      <x:c r="D44" s="11" t="str">
        <x:v>1 of 2 (page 2 missing)</x:v>
      </x:c>
      <x:c r="E44" s="11" t="str">
        <x:v>3003115</x:v>
      </x:c>
      <x:c r="F44" s="11" t="str">
        <x:v>6</x:v>
      </x:c>
      <x:c r="G44" s="11" t="str">
        <x:v>GAMEZ RESIDENCE / SOUTH TEXAS BUILDERS / 6218 MILE 14 1/2 N RD / MCALLEN TX 78541</x:v>
      </x:c>
      <x:c r="H44" s="11" t="str">
        <x:v>7AM OK TMZ WED. 9/10</x:v>
      </x:c>
      <x:c r="I44" s="16" t="n">
        <x:v>1</x:v>
      </x:c>
      <x:c r="J44" s="11" t="str">
        <x:v>EACH</x:v>
      </x:c>
      <x:c r="K44" s="11" t="str">
        <x:v>808</x:v>
      </x:c>
      <x:c r="L44" s="11" t="str">
        <x:v>5 1/2" x 50' DOW SILL SEAL</x:v>
      </x:c>
      <x:c r="M44" s="11" t="str">
        <x:v>Material</x:v>
      </x:c>
      <x:c r="N44" s="18" t="n">
        <x:v>7.19</x:v>
      </x:c>
      <x:c r="O44" s="18" t="n">
        <x:v>7.19</x:v>
      </x:c>
      <x:c r="P44" s="11" t="str">
        <x:v>Invoice image shows page 1 of 2 only; upload page 2 to complete this invoice.</x:v>
      </x:c>
      <x:c r="Q44" s="18" t="n">
        <x:f>I44*N44</x:f>
        <x:v>7.19</x:v>
      </x:c>
      <x:c r="R44" s="18" t="n">
        <x:f>O44-Q44</x:f>
        <x:v>0</x:v>
      </x:c>
      <x:c r="S44" s="11" t="str">
        <x:v>Extracted from uploaded invoice image</x:v>
      </x:c>
    </x:row>
    <x:row r="45">
      <x:c r="A45" s="11" t="str">
        <x:v>2509-105909</x:v>
      </x:c>
      <x:c r="B45" s="14" t="n">
        <x:v>45910</x:v>
      </x:c>
      <x:c r="C45" s="11" t="str">
        <x:v>2509-396962</x:v>
      </x:c>
      <x:c r="D45" s="11" t="str">
        <x:v>1 of 2 (page 2 missing)</x:v>
      </x:c>
      <x:c r="E45" s="11" t="str">
        <x:v>3003115</x:v>
      </x:c>
      <x:c r="F45" s="11" t="str">
        <x:v>6</x:v>
      </x:c>
      <x:c r="G45" s="11" t="str">
        <x:v>GAMEZ RESIDENCE / SOUTH TEXAS BUILDERS / 6218 MILE 14 1/2 N RD / MCALLEN TX 78541</x:v>
      </x:c>
      <x:c r="H45" s="11" t="str">
        <x:v>7AM OK TMZ WED. 9/10</x:v>
      </x:c>
      <x:c r="I45" s="16" t="n">
        <x:v>3</x:v>
      </x:c>
      <x:c r="J45" s="11" t="str">
        <x:v>EACH</x:v>
      </x:c>
      <x:c r="K45" s="11" t="str">
        <x:v>50618</x:v>
      </x:c>
      <x:c r="L45" s="11" t="str">
        <x:v>18" CUT FELT (100 SQ. FT)</x:v>
      </x:c>
      <x:c r="M45" s="11" t="str">
        <x:v>Material</x:v>
      </x:c>
      <x:c r="N45" s="18" t="n">
        <x:v>15.49</x:v>
      </x:c>
      <x:c r="O45" s="18" t="n">
        <x:v>46.47</x:v>
      </x:c>
      <x:c r="P45" s="11" t="str">
        <x:v>Invoice image shows page 1 of 2 only; upload page 2 to complete this invoice.</x:v>
      </x:c>
      <x:c r="Q45" s="18" t="n">
        <x:f>I45*N45</x:f>
        <x:v>46.47</x:v>
      </x:c>
      <x:c r="R45" s="18" t="n">
        <x:f>O45-Q45</x:f>
        <x:v>0</x:v>
      </x:c>
      <x:c r="S45" s="11" t="str">
        <x:v>Extracted from uploaded invoice image</x:v>
      </x:c>
    </x:row>
    <x:row r="46">
      <x:c r="A46" s="11" t="str">
        <x:v>2509-105909</x:v>
      </x:c>
      <x:c r="B46" s="14" t="n">
        <x:v>45910</x:v>
      </x:c>
      <x:c r="C46" s="11" t="str">
        <x:v>2509-396962</x:v>
      </x:c>
      <x:c r="D46" s="11" t="str">
        <x:v>1 of 2 (page 2 missing)</x:v>
      </x:c>
      <x:c r="E46" s="11" t="str">
        <x:v>3003115</x:v>
      </x:c>
      <x:c r="F46" s="11" t="str">
        <x:v>6</x:v>
      </x:c>
      <x:c r="G46" s="11" t="str">
        <x:v>GAMEZ RESIDENCE / SOUTH TEXAS BUILDERS / 6218 MILE 14 1/2 N RD / MCALLEN TX 78541</x:v>
      </x:c>
      <x:c r="H46" s="11" t="str">
        <x:v>7AM OK TMZ WED. 9/10</x:v>
      </x:c>
      <x:c r="I46" s="16" t="n">
        <x:v>4</x:v>
      </x:c>
      <x:c r="J46" s="11" t="str">
        <x:v>EACH</x:v>
      </x:c>
      <x:c r="K46" s="11" t="str">
        <x:v>2516</x:v>
      </x:c>
      <x:c r="L46" s="11" t="str">
        <x:v>4 x 8 7/16 OSB</x:v>
      </x:c>
      <x:c r="M46" s="11" t="str">
        <x:v>Material</x:v>
      </x:c>
      <x:c r="N46" s="18" t="n">
        <x:v>8.99</x:v>
      </x:c>
      <x:c r="O46" s="18" t="n">
        <x:v>35.96</x:v>
      </x:c>
      <x:c r="P46" s="11" t="str">
        <x:v>Invoice image shows page 1 of 2 only; upload page 2 to complete this invoice.</x:v>
      </x:c>
      <x:c r="Q46" s="18" t="n">
        <x:f>I46*N46</x:f>
        <x:v>35.96</x:v>
      </x:c>
      <x:c r="R46" s="18" t="n">
        <x:f>O46-Q46</x:f>
        <x:v>0</x:v>
      </x:c>
      <x:c r="S46" s="11" t="str">
        <x:v>Extracted from uploaded invoice image</x:v>
      </x:c>
    </x:row>
  </x:sheetData>
  <x:pageMargins left="0.7" right="0.7" top="0.75" bottom="0.75" header="0.3" footer="0.3"/>
  <x:tableParts count="1">
    <x:tablePart xmlns:r="http://schemas.openxmlformats.org/officeDocument/2006/relationships" r:id="R41124209fbe344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9" hidden="0" customWidth="1"/>
    <x:col min="4" max="4" width="12" hidden="0" customWidth="1"/>
    <x:col min="5" max="5" width="16" hidden="0" customWidth="1"/>
    <x:col min="6" max="6" width="24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5" hidden="0" customWidth="1"/>
    <x:col min="12" max="12" width="12" hidden="0" customWidth="1"/>
    <x:col min="13" max="13" width="14" hidden="0" customWidth="1"/>
    <x:col min="14" max="14" width="11" hidden="0" customWidth="1"/>
    <x:col min="15" max="15" width="13" hidden="0" customWidth="1"/>
    <x:col min="16" max="16" width="40" hidden="0" customWidth="1"/>
  </x:cols>
  <x:sheetData>
    <x:row r="1">
      <x:c r="A1" s="28" t="str">
        <x:v>Item #</x:v>
      </x:c>
      <x:c r="B1" s="28" t="str">
        <x:v>Description</x:v>
      </x:c>
      <x:c r="C1" s="28" t="str">
        <x:v>UM</x:v>
      </x:c>
      <x:c r="D1" s="28" t="str">
        <x:v>Category</x:v>
      </x:c>
      <x:c r="E1" s="28" t="str">
        <x:v>Baseline Unit Price</x:v>
      </x:c>
      <x:c r="F1" s="28" t="str">
        <x:v>Baseline Rule</x:v>
      </x:c>
      <x:c r="G1" s="28" t="str">
        <x:v>Lowest Price Seen</x:v>
      </x:c>
      <x:c r="H1" s="28" t="str">
        <x:v>Highest Price Seen</x:v>
      </x:c>
      <x:c r="I1" s="28" t="str">
        <x:v>Price Spread</x:v>
      </x:c>
      <x:c r="J1" s="28" t="str">
        <x:v>Last Seen Price</x:v>
      </x:c>
      <x:c r="K1" s="28" t="str">
        <x:v>Last Seen Invoice</x:v>
      </x:c>
      <x:c r="L1" s="28" t="str">
        <x:v>Last Seen Date</x:v>
      </x:c>
      <x:c r="M1" s="28" t="str">
        <x:v>Times Purchased</x:v>
      </x:c>
      <x:c r="N1" s="28" t="str">
        <x:v>Total Qty</x:v>
      </x:c>
      <x:c r="O1" s="28" t="str">
        <x:v>Total Paid</x:v>
      </x:c>
      <x:c r="P1" s="28" t="str">
        <x:v>Notes</x:v>
      </x:c>
    </x:row>
    <x:row r="2">
      <x:c r="A2" s="11" t="str">
        <x:v>1</x:v>
      </x:c>
      <x:c r="B2" s="11" t="str">
        <x:v>DELIVERY CHARGE - ZONE 1 (&lt;8)</x:v>
      </x:c>
      <x:c r="C2" s="11" t="str">
        <x:v>EACH</x:v>
      </x:c>
      <x:c r="D2" s="11" t="str">
        <x:v>Delivery</x:v>
      </x:c>
      <x:c r="E2" s="18" t="n">
        <x:v>45</x:v>
      </x:c>
      <x:c r="F2" s="18" t="str">
        <x:v>Lowest observed unit price</x:v>
      </x:c>
      <x:c r="G2" s="18" t="n">
        <x:v>45</x:v>
      </x:c>
      <x:c r="H2" s="18" t="n">
        <x:v>45</x:v>
      </x:c>
      <x:c r="I2" s="18" t="n">
        <x:v>0</x:v>
      </x:c>
      <x:c r="J2" s="18" t="n">
        <x:v>45</x:v>
      </x:c>
      <x:c r="K2" s="11" t="str">
        <x:v>2509-111629</x:v>
      </x:c>
      <x:c r="L2" s="14" t="n">
        <x:v>45912</x:v>
      </x:c>
      <x:c r="M2" s="11" t="n">
        <x:v>2</x:v>
      </x:c>
      <x:c r="N2" s="11" t="n">
        <x:v>2</x:v>
      </x:c>
      <x:c r="O2" s="18" t="n">
        <x:v>90</x:v>
      </x:c>
      <x:c r="P2" s="11" t="str">
        <x:v>Delivery charge baseline.</x:v>
      </x:c>
    </x:row>
    <x:row r="3">
      <x:c r="A3" s="11" t="str">
        <x:v>101210</x:v>
      </x:c>
      <x:c r="B3" s="11" t="str">
        <x:v>2 x 12-10 #2 SPF/HF/YP LUMBER</x:v>
      </x:c>
      <x:c r="C3" s="11" t="str">
        <x:v>EACH</x:v>
      </x:c>
      <x:c r="D3" s="11" t="str">
        <x:v>Material</x:v>
      </x:c>
      <x:c r="E3" s="18" t="n">
        <x:v>14.19</x:v>
      </x:c>
      <x:c r="F3" s="18" t="str">
        <x:v>Lowest observed unit price</x:v>
      </x:c>
      <x:c r="G3" s="18" t="n">
        <x:v>14.19</x:v>
      </x:c>
      <x:c r="H3" s="18" t="n">
        <x:v>14.19</x:v>
      </x:c>
      <x:c r="I3" s="18" t="n">
        <x:v>0</x:v>
      </x:c>
      <x:c r="J3" s="18" t="n">
        <x:v>14.19</x:v>
      </x:c>
      <x:c r="K3" s="11" t="str">
        <x:v>2509-110047</x:v>
      </x:c>
      <x:c r="L3" s="14" t="n">
        <x:v>45911</x:v>
      </x:c>
      <x:c r="M3" s="11" t="n">
        <x:v>1</x:v>
      </x:c>
      <x:c r="N3" s="11" t="n">
        <x:v>2</x:v>
      </x:c>
      <x:c r="O3" s="18" t="n">
        <x:v>28.38</x:v>
      </x:c>
      <x:c r="P3" s="11" t="str"/>
    </x:row>
    <x:row r="4">
      <x:c r="A4" s="11" t="str">
        <x:v>101212</x:v>
      </x:c>
      <x:c r="B4" s="11" t="str">
        <x:v>2 x 12-12 #2 SPF/HF/YP LUMBER</x:v>
      </x:c>
      <x:c r="C4" s="11" t="str">
        <x:v>EACH</x:v>
      </x:c>
      <x:c r="D4" s="11" t="str">
        <x:v>Material</x:v>
      </x:c>
      <x:c r="E4" s="18" t="n">
        <x:v>16.19</x:v>
      </x:c>
      <x:c r="F4" s="18" t="str">
        <x:v>Lowest observed unit price</x:v>
      </x:c>
      <x:c r="G4" s="18" t="n">
        <x:v>16.19</x:v>
      </x:c>
      <x:c r="H4" s="18" t="n">
        <x:v>16.19</x:v>
      </x:c>
      <x:c r="I4" s="18" t="n">
        <x:v>0</x:v>
      </x:c>
      <x:c r="J4" s="18" t="n">
        <x:v>16.19</x:v>
      </x:c>
      <x:c r="K4" s="11" t="str">
        <x:v>2509-110047</x:v>
      </x:c>
      <x:c r="L4" s="14" t="n">
        <x:v>45911</x:v>
      </x:c>
      <x:c r="M4" s="11" t="n">
        <x:v>1</x:v>
      </x:c>
      <x:c r="N4" s="11" t="n">
        <x:v>12</x:v>
      </x:c>
      <x:c r="O4" s="18" t="n">
        <x:v>194.28</x:v>
      </x:c>
      <x:c r="P4" s="11" t="str"/>
    </x:row>
    <x:row r="5">
      <x:c r="A5" s="11" t="str">
        <x:v>101216</x:v>
      </x:c>
      <x:c r="B5" s="11" t="str">
        <x:v>2 x 12-16 #2 SPF/HF/YP LUMBER</x:v>
      </x:c>
      <x:c r="C5" s="11" t="str">
        <x:v>EACH</x:v>
      </x:c>
      <x:c r="D5" s="11" t="str">
        <x:v>Material</x:v>
      </x:c>
      <x:c r="E5" s="18" t="n">
        <x:v>25.19</x:v>
      </x:c>
      <x:c r="F5" s="18" t="str">
        <x:v>Lowest observed unit price</x:v>
      </x:c>
      <x:c r="G5" s="18" t="n">
        <x:v>25.19</x:v>
      </x:c>
      <x:c r="H5" s="18" t="n">
        <x:v>25.19</x:v>
      </x:c>
      <x:c r="I5" s="18" t="n">
        <x:v>0</x:v>
      </x:c>
      <x:c r="J5" s="18" t="n">
        <x:v>25.19</x:v>
      </x:c>
      <x:c r="K5" s="11" t="str">
        <x:v>2509-110047</x:v>
      </x:c>
      <x:c r="L5" s="14" t="n">
        <x:v>45911</x:v>
      </x:c>
      <x:c r="M5" s="11" t="n">
        <x:v>1</x:v>
      </x:c>
      <x:c r="N5" s="11" t="n">
        <x:v>2</x:v>
      </x:c>
      <x:c r="O5" s="18" t="n">
        <x:v>50.38</x:v>
      </x:c>
      <x:c r="P5" s="11" t="str"/>
    </x:row>
    <x:row r="6">
      <x:c r="A6" s="11" t="str">
        <x:v>101220</x:v>
      </x:c>
      <x:c r="B6" s="11" t="str">
        <x:v>2 x 12-20 #2 SPF/HF/YP LUMBER</x:v>
      </x:c>
      <x:c r="C6" s="11" t="str">
        <x:v>EACH</x:v>
      </x:c>
      <x:c r="D6" s="11" t="str">
        <x:v>Material</x:v>
      </x:c>
      <x:c r="E6" s="18" t="n">
        <x:v>41.19</x:v>
      </x:c>
      <x:c r="F6" s="18" t="str">
        <x:v>Lowest observed unit price</x:v>
      </x:c>
      <x:c r="G6" s="18" t="n">
        <x:v>41.19</x:v>
      </x:c>
      <x:c r="H6" s="18" t="n">
        <x:v>41.19</x:v>
      </x:c>
      <x:c r="I6" s="18" t="n">
        <x:v>0</x:v>
      </x:c>
      <x:c r="J6" s="18" t="n">
        <x:v>41.19</x:v>
      </x:c>
      <x:c r="K6" s="11" t="str">
        <x:v>2509-110047</x:v>
      </x:c>
      <x:c r="L6" s="14" t="n">
        <x:v>45911</x:v>
      </x:c>
      <x:c r="M6" s="11" t="n">
        <x:v>1</x:v>
      </x:c>
      <x:c r="N6" s="11" t="n">
        <x:v>4</x:v>
      </x:c>
      <x:c r="O6" s="18" t="n">
        <x:v>164.76</x:v>
      </x:c>
      <x:c r="P6" s="11" t="str"/>
    </x:row>
    <x:row r="7">
      <x:c r="A7" s="11" t="str">
        <x:v>10128</x:v>
      </x:c>
      <x:c r="B7" s="11" t="str">
        <x:v>2 x 12-8 #2 SPF/HF/YP LUMBER</x:v>
      </x:c>
      <x:c r="C7" s="11" t="str">
        <x:v>EACH</x:v>
      </x:c>
      <x:c r="D7" s="11" t="str">
        <x:v>Material</x:v>
      </x:c>
      <x:c r="E7" s="18" t="n">
        <x:v>11.19</x:v>
      </x:c>
      <x:c r="F7" s="18" t="str">
        <x:v>Lowest observed unit price</x:v>
      </x:c>
      <x:c r="G7" s="18" t="n">
        <x:v>11.19</x:v>
      </x:c>
      <x:c r="H7" s="18" t="n">
        <x:v>11.19</x:v>
      </x:c>
      <x:c r="I7" s="18" t="n">
        <x:v>0</x:v>
      </x:c>
      <x:c r="J7" s="18" t="n">
        <x:v>11.19</x:v>
      </x:c>
      <x:c r="K7" s="11" t="str">
        <x:v>2509-110047</x:v>
      </x:c>
      <x:c r="L7" s="14" t="n">
        <x:v>45911</x:v>
      </x:c>
      <x:c r="M7" s="11" t="n">
        <x:v>1</x:v>
      </x:c>
      <x:c r="N7" s="11" t="n">
        <x:v>4</x:v>
      </x:c>
      <x:c r="O7" s="18" t="n">
        <x:v>44.76</x:v>
      </x:c>
      <x:c r="P7" s="11" t="str"/>
    </x:row>
    <x:row r="8">
      <x:c r="A8" s="11" t="str">
        <x:v>10410P</x:v>
      </x:c>
      <x:c r="B8" s="11" t="str">
        <x:v>2 x 4-10FT PRECUT (116 5/8") #2/BTR STUD LUMBER</x:v>
      </x:c>
      <x:c r="C8" s="11" t="str">
        <x:v>EACH</x:v>
      </x:c>
      <x:c r="D8" s="11" t="str">
        <x:v>Material</x:v>
      </x:c>
      <x:c r="E8" s="18" t="n">
        <x:v>4.59</x:v>
      </x:c>
      <x:c r="F8" s="18" t="str">
        <x:v>Lowest observed unit price</x:v>
      </x:c>
      <x:c r="G8" s="18" t="n">
        <x:v>4.59</x:v>
      </x:c>
      <x:c r="H8" s="18" t="n">
        <x:v>4.59</x:v>
      </x:c>
      <x:c r="I8" s="18" t="n">
        <x:v>0</x:v>
      </x:c>
      <x:c r="J8" s="18" t="n">
        <x:v>4.59</x:v>
      </x:c>
      <x:c r="K8" s="11" t="str">
        <x:v>2509-105909</x:v>
      </x:c>
      <x:c r="L8" s="14" t="n">
        <x:v>45910</x:v>
      </x:c>
      <x:c r="M8" s="11" t="n">
        <x:v>1</x:v>
      </x:c>
      <x:c r="N8" s="11" t="n">
        <x:v>200</x:v>
      </x:c>
      <x:c r="O8" s="18" t="n">
        <x:v>918</x:v>
      </x:c>
      <x:c r="P8" s="11" t="str"/>
    </x:row>
    <x:row r="9">
      <x:c r="A9" s="11" t="str">
        <x:v>10412</x:v>
      </x:c>
      <x:c r="B9" s="11" t="str">
        <x:v>2 x 4-12 #2/BTR SPF</x:v>
      </x:c>
      <x:c r="C9" s="11" t="str">
        <x:v>EACH</x:v>
      </x:c>
      <x:c r="D9" s="11" t="str">
        <x:v>Material</x:v>
      </x:c>
      <x:c r="E9" s="18" t="n">
        <x:v>7.59</x:v>
      </x:c>
      <x:c r="F9" s="18" t="str">
        <x:v>Lowest observed unit price</x:v>
      </x:c>
      <x:c r="G9" s="18" t="n">
        <x:v>7.59</x:v>
      </x:c>
      <x:c r="H9" s="18" t="n">
        <x:v>7.59</x:v>
      </x:c>
      <x:c r="I9" s="18" t="n">
        <x:v>0</x:v>
      </x:c>
      <x:c r="J9" s="18" t="n">
        <x:v>7.59</x:v>
      </x:c>
      <x:c r="K9" s="11" t="str">
        <x:v>2509-105909</x:v>
      </x:c>
      <x:c r="L9" s="14" t="n">
        <x:v>45910</x:v>
      </x:c>
      <x:c r="M9" s="11" t="n">
        <x:v>1</x:v>
      </x:c>
      <x:c r="N9" s="11" t="n">
        <x:v>64</x:v>
      </x:c>
      <x:c r="O9" s="18" t="n">
        <x:v>485.76</x:v>
      </x:c>
      <x:c r="P9" s="11" t="str"/>
    </x:row>
    <x:row r="10">
      <x:c r="A10" s="11" t="str">
        <x:v>10414</x:v>
      </x:c>
      <x:c r="B10" s="11" t="str">
        <x:v>2 x 4-14 #2/BTR SPF</x:v>
      </x:c>
      <x:c r="C10" s="11" t="str">
        <x:v>EACH</x:v>
      </x:c>
      <x:c r="D10" s="11" t="str">
        <x:v>Material</x:v>
      </x:c>
      <x:c r="E10" s="18" t="n">
        <x:v>7.19</x:v>
      </x:c>
      <x:c r="F10" s="18" t="str">
        <x:v>Lowest observed unit price</x:v>
      </x:c>
      <x:c r="G10" s="18" t="n">
        <x:v>7.19</x:v>
      </x:c>
      <x:c r="H10" s="18" t="n">
        <x:v>7.19</x:v>
      </x:c>
      <x:c r="I10" s="18" t="n">
        <x:v>0</x:v>
      </x:c>
      <x:c r="J10" s="18" t="n">
        <x:v>7.19</x:v>
      </x:c>
      <x:c r="K10" s="11" t="str">
        <x:v>2509-105909</x:v>
      </x:c>
      <x:c r="L10" s="14" t="n">
        <x:v>45910</x:v>
      </x:c>
      <x:c r="M10" s="11" t="n">
        <x:v>1</x:v>
      </x:c>
      <x:c r="N10" s="11" t="n">
        <x:v>72</x:v>
      </x:c>
      <x:c r="O10" s="18" t="n">
        <x:v>517.68</x:v>
      </x:c>
      <x:c r="P10" s="11" t="str"/>
    </x:row>
    <x:row r="11">
      <x:c r="A11" s="11" t="str">
        <x:v>10416</x:v>
      </x:c>
      <x:c r="B11" s="11" t="str">
        <x:v>2 x 4-16 #2/BTR SPF</x:v>
      </x:c>
      <x:c r="C11" s="11" t="str">
        <x:v>EACH</x:v>
      </x:c>
      <x:c r="D11" s="11" t="str">
        <x:v>Material</x:v>
      </x:c>
      <x:c r="E11" s="18" t="n">
        <x:v>8.99</x:v>
      </x:c>
      <x:c r="F11" s="18" t="str">
        <x:v>Lowest observed unit price</x:v>
      </x:c>
      <x:c r="G11" s="18" t="n">
        <x:v>8.99</x:v>
      </x:c>
      <x:c r="H11" s="18" t="n">
        <x:v>8.99</x:v>
      </x:c>
      <x:c r="I11" s="18" t="n">
        <x:v>0</x:v>
      </x:c>
      <x:c r="J11" s="18" t="n">
        <x:v>8.99</x:v>
      </x:c>
      <x:c r="K11" s="11" t="str">
        <x:v>2509-105909</x:v>
      </x:c>
      <x:c r="L11" s="14" t="n">
        <x:v>45910</x:v>
      </x:c>
      <x:c r="M11" s="11" t="n">
        <x:v>1</x:v>
      </x:c>
      <x:c r="N11" s="11" t="n">
        <x:v>72</x:v>
      </x:c>
      <x:c r="O11" s="18" t="n">
        <x:v>647.28</x:v>
      </x:c>
      <x:c r="P11" s="11" t="str"/>
    </x:row>
    <x:row r="12">
      <x:c r="A12" s="11" t="str">
        <x:v>1049</x:v>
      </x:c>
      <x:c r="B12" s="11" t="str">
        <x:v>2 x 4-9 FT PRECUT (104 5/8") #2/BTR STUD LUMBER</x:v>
      </x:c>
      <x:c r="C12" s="11" t="str">
        <x:v>EACH</x:v>
      </x:c>
      <x:c r="D12" s="11" t="str">
        <x:v>Material</x:v>
      </x:c>
      <x:c r="E12" s="18" t="n">
        <x:v>3.99</x:v>
      </x:c>
      <x:c r="F12" s="18" t="str">
        <x:v>Lowest observed unit price</x:v>
      </x:c>
      <x:c r="G12" s="18" t="n">
        <x:v>3.99</x:v>
      </x:c>
      <x:c r="H12" s="18" t="n">
        <x:v>3.99</x:v>
      </x:c>
      <x:c r="I12" s="18" t="n">
        <x:v>0</x:v>
      </x:c>
      <x:c r="J12" s="18" t="n">
        <x:v>3.99</x:v>
      </x:c>
      <x:c r="K12" s="11" t="str">
        <x:v>2509-105909</x:v>
      </x:c>
      <x:c r="L12" s="14" t="n">
        <x:v>45910</x:v>
      </x:c>
      <x:c r="M12" s="11" t="n">
        <x:v>1</x:v>
      </x:c>
      <x:c r="N12" s="11" t="n">
        <x:v>254</x:v>
      </x:c>
      <x:c r="O12" s="18" t="n">
        <x:v>1013.46</x:v>
      </x:c>
      <x:c r="P12" s="11" t="str"/>
    </x:row>
    <x:row r="13">
      <x:c r="A13" s="11" t="str">
        <x:v>10610</x:v>
      </x:c>
      <x:c r="B13" s="11" t="str">
        <x:v>2 x 6-10' #1 YP</x:v>
      </x:c>
      <x:c r="C13" s="11" t="str">
        <x:v>EACH</x:v>
      </x:c>
      <x:c r="D13" s="11" t="str">
        <x:v>Material</x:v>
      </x:c>
      <x:c r="E13" s="18" t="n">
        <x:v>6.29</x:v>
      </x:c>
      <x:c r="F13" s="18" t="str">
        <x:v>Lowest observed unit price</x:v>
      </x:c>
      <x:c r="G13" s="18" t="n">
        <x:v>6.29</x:v>
      </x:c>
      <x:c r="H13" s="18" t="n">
        <x:v>6.29</x:v>
      </x:c>
      <x:c r="I13" s="18" t="n">
        <x:v>0</x:v>
      </x:c>
      <x:c r="J13" s="18" t="n">
        <x:v>6.29</x:v>
      </x:c>
      <x:c r="K13" s="11" t="str">
        <x:v>2509-111629</x:v>
      </x:c>
      <x:c r="L13" s="14" t="n">
        <x:v>45912</x:v>
      </x:c>
      <x:c r="M13" s="11" t="n">
        <x:v>1</x:v>
      </x:c>
      <x:c r="N13" s="11" t="n">
        <x:v>20</x:v>
      </x:c>
      <x:c r="O13" s="18" t="n">
        <x:v>125.8</x:v>
      </x:c>
      <x:c r="P13" s="11" t="str"/>
    </x:row>
    <x:row r="14">
      <x:c r="A14" s="11" t="str">
        <x:v>10612</x:v>
      </x:c>
      <x:c r="B14" s="11" t="str">
        <x:v>2 x 6-12' #1 YP</x:v>
      </x:c>
      <x:c r="C14" s="11" t="str">
        <x:v>EACH</x:v>
      </x:c>
      <x:c r="D14" s="11" t="str">
        <x:v>Material</x:v>
      </x:c>
      <x:c r="E14" s="18" t="n">
        <x:v>7.79</x:v>
      </x:c>
      <x:c r="F14" s="18" t="str">
        <x:v>Lowest observed unit price</x:v>
      </x:c>
      <x:c r="G14" s="18" t="n">
        <x:v>7.79</x:v>
      </x:c>
      <x:c r="H14" s="18" t="n">
        <x:v>8.09</x:v>
      </x:c>
      <x:c r="I14" s="18" t="n">
        <x:v>0.2999999999999998</x:v>
      </x:c>
      <x:c r="J14" s="18" t="n">
        <x:v>7.79</x:v>
      </x:c>
      <x:c r="K14" s="11" t="str">
        <x:v>2509-111629</x:v>
      </x:c>
      <x:c r="L14" s="14" t="n">
        <x:v>45912</x:v>
      </x:c>
      <x:c r="M14" s="11" t="n">
        <x:v>2</x:v>
      </x:c>
      <x:c r="N14" s="11" t="n">
        <x:v>80</x:v>
      </x:c>
      <x:c r="O14" s="18" t="n">
        <x:v>638.2</x:v>
      </x:c>
      <x:c r="P14" s="11" t="str">
        <x:v>Multiple prices observed; checker flags prices above lowest baseline.</x:v>
      </x:c>
    </x:row>
    <x:row r="15">
      <x:c r="A15" s="11" t="str">
        <x:v>10614</x:v>
      </x:c>
      <x:c r="B15" s="11" t="str">
        <x:v>2 x 6-14' #1 YP</x:v>
      </x:c>
      <x:c r="C15" s="11" t="str">
        <x:v>EACH</x:v>
      </x:c>
      <x:c r="D15" s="11" t="str">
        <x:v>Material</x:v>
      </x:c>
      <x:c r="E15" s="18" t="n">
        <x:v>8.79</x:v>
      </x:c>
      <x:c r="F15" s="18" t="str">
        <x:v>Lowest observed unit price</x:v>
      </x:c>
      <x:c r="G15" s="18" t="n">
        <x:v>8.79</x:v>
      </x:c>
      <x:c r="H15" s="18" t="n">
        <x:v>8.79</x:v>
      </x:c>
      <x:c r="I15" s="18" t="n">
        <x:v>0</x:v>
      </x:c>
      <x:c r="J15" s="18" t="n">
        <x:v>8.79</x:v>
      </x:c>
      <x:c r="K15" s="11" t="str">
        <x:v>2509-111629</x:v>
      </x:c>
      <x:c r="L15" s="14" t="n">
        <x:v>45912</x:v>
      </x:c>
      <x:c r="M15" s="11" t="n">
        <x:v>2</x:v>
      </x:c>
      <x:c r="N15" s="11" t="n">
        <x:v>80</x:v>
      </x:c>
      <x:c r="O15" s="18" t="n">
        <x:v>703.2</x:v>
      </x:c>
      <x:c r="P15" s="11" t="str"/>
    </x:row>
    <x:row r="16">
      <x:c r="A16" s="11" t="str">
        <x:v>10616</x:v>
      </x:c>
      <x:c r="B16" s="11" t="str">
        <x:v>2 x 6-16' #1 YP</x:v>
      </x:c>
      <x:c r="C16" s="11" t="str">
        <x:v>EACH</x:v>
      </x:c>
      <x:c r="D16" s="11" t="str">
        <x:v>Material</x:v>
      </x:c>
      <x:c r="E16" s="18" t="n">
        <x:v>9.79</x:v>
      </x:c>
      <x:c r="F16" s="18" t="str">
        <x:v>Lowest observed unit price</x:v>
      </x:c>
      <x:c r="G16" s="18" t="n">
        <x:v>9.79</x:v>
      </x:c>
      <x:c r="H16" s="18" t="n">
        <x:v>9.99</x:v>
      </x:c>
      <x:c r="I16" s="18" t="n">
        <x:v>0.20000000000000107</x:v>
      </x:c>
      <x:c r="J16" s="18" t="n">
        <x:v>9.79</x:v>
      </x:c>
      <x:c r="K16" s="11" t="str">
        <x:v>2509-111629</x:v>
      </x:c>
      <x:c r="L16" s="14" t="n">
        <x:v>45912</x:v>
      </x:c>
      <x:c r="M16" s="11" t="n">
        <x:v>3</x:v>
      </x:c>
      <x:c r="N16" s="11" t="n">
        <x:v>130</x:v>
      </x:c>
      <x:c r="O16" s="18" t="n">
        <x:v>1286.7</x:v>
      </x:c>
      <x:c r="P16" s="11" t="str">
        <x:v>Multiple prices observed; checker flags prices above lowest baseline.</x:v>
      </x:c>
    </x:row>
    <x:row r="17">
      <x:c r="A17" s="11" t="str">
        <x:v>10618</x:v>
      </x:c>
      <x:c r="B17" s="11" t="str">
        <x:v>2 x 6-18' #1 YP</x:v>
      </x:c>
      <x:c r="C17" s="11" t="str">
        <x:v>EACH</x:v>
      </x:c>
      <x:c r="D17" s="11" t="str">
        <x:v>Material</x:v>
      </x:c>
      <x:c r="E17" s="18" t="n">
        <x:v>11.49</x:v>
      </x:c>
      <x:c r="F17" s="18" t="str">
        <x:v>Lowest observed unit price</x:v>
      </x:c>
      <x:c r="G17" s="18" t="n">
        <x:v>11.49</x:v>
      </x:c>
      <x:c r="H17" s="18" t="n">
        <x:v>11.49</x:v>
      </x:c>
      <x:c r="I17" s="18" t="n">
        <x:v>0</x:v>
      </x:c>
      <x:c r="J17" s="18" t="n">
        <x:v>11.49</x:v>
      </x:c>
      <x:c r="K17" s="11" t="str">
        <x:v>2509-111629</x:v>
      </x:c>
      <x:c r="L17" s="14" t="n">
        <x:v>45912</x:v>
      </x:c>
      <x:c r="M17" s="11" t="n">
        <x:v>1</x:v>
      </x:c>
      <x:c r="N17" s="11" t="n">
        <x:v>40</x:v>
      </x:c>
      <x:c r="O17" s="18" t="n">
        <x:v>459.6</x:v>
      </x:c>
      <x:c r="P17" s="11" t="str"/>
    </x:row>
    <x:row r="18">
      <x:c r="A18" s="11" t="str">
        <x:v>10620</x:v>
      </x:c>
      <x:c r="B18" s="11" t="str">
        <x:v>2 x 6-20' #1 YP</x:v>
      </x:c>
      <x:c r="C18" s="11" t="str">
        <x:v>EACH</x:v>
      </x:c>
      <x:c r="D18" s="11" t="str">
        <x:v>Material</x:v>
      </x:c>
      <x:c r="E18" s="18" t="n">
        <x:v>12.89</x:v>
      </x:c>
      <x:c r="F18" s="18" t="str">
        <x:v>Lowest observed unit price</x:v>
      </x:c>
      <x:c r="G18" s="18" t="n">
        <x:v>12.89</x:v>
      </x:c>
      <x:c r="H18" s="18" t="n">
        <x:v>12.89</x:v>
      </x:c>
      <x:c r="I18" s="18" t="n">
        <x:v>0</x:v>
      </x:c>
      <x:c r="J18" s="18" t="n">
        <x:v>12.89</x:v>
      </x:c>
      <x:c r="K18" s="11" t="str">
        <x:v>2509-111629</x:v>
      </x:c>
      <x:c r="L18" s="14" t="n">
        <x:v>45912</x:v>
      </x:c>
      <x:c r="M18" s="11" t="n">
        <x:v>1</x:v>
      </x:c>
      <x:c r="N18" s="11" t="n">
        <x:v>16</x:v>
      </x:c>
      <x:c r="O18" s="18" t="n">
        <x:v>206.24</x:v>
      </x:c>
      <x:c r="P18" s="11" t="str"/>
    </x:row>
    <x:row r="19">
      <x:c r="A19" s="11" t="str">
        <x:v>10622</x:v>
      </x:c>
      <x:c r="B19" s="11" t="str">
        <x:v>2 x 6-22 #2 SPF/HF/YP/FJ LUMBER</x:v>
      </x:c>
      <x:c r="C19" s="11" t="str">
        <x:v>EACH</x:v>
      </x:c>
      <x:c r="D19" s="11" t="str">
        <x:v>Material</x:v>
      </x:c>
      <x:c r="E19" s="18" t="n">
        <x:v>24.99</x:v>
      </x:c>
      <x:c r="F19" s="18" t="str">
        <x:v>Lowest observed unit price</x:v>
      </x:c>
      <x:c r="G19" s="18" t="n">
        <x:v>24.99</x:v>
      </x:c>
      <x:c r="H19" s="18" t="n">
        <x:v>24.99</x:v>
      </x:c>
      <x:c r="I19" s="18" t="n">
        <x:v>0</x:v>
      </x:c>
      <x:c r="J19" s="18" t="n">
        <x:v>24.99</x:v>
      </x:c>
      <x:c r="K19" s="11" t="str">
        <x:v>2509-111629</x:v>
      </x:c>
      <x:c r="L19" s="14" t="n">
        <x:v>45912</x:v>
      </x:c>
      <x:c r="M19" s="11" t="n">
        <x:v>1</x:v>
      </x:c>
      <x:c r="N19" s="11" t="n">
        <x:v>8</x:v>
      </x:c>
      <x:c r="O19" s="18" t="n">
        <x:v>199.92</x:v>
      </x:c>
      <x:c r="P19" s="11" t="str"/>
    </x:row>
    <x:row r="20">
      <x:c r="A20" s="11" t="str">
        <x:v>10624</x:v>
      </x:c>
      <x:c r="B20" s="11" t="str">
        <x:v>2 x 6-24 #2 SPF/HF/YP/FJ LUMBER</x:v>
      </x:c>
      <x:c r="C20" s="11" t="str">
        <x:v>EACH</x:v>
      </x:c>
      <x:c r="D20" s="11" t="str">
        <x:v>Material</x:v>
      </x:c>
      <x:c r="E20" s="18" t="n">
        <x:v>27.99</x:v>
      </x:c>
      <x:c r="F20" s="18" t="str">
        <x:v>Lowest observed unit price</x:v>
      </x:c>
      <x:c r="G20" s="18" t="n">
        <x:v>27.99</x:v>
      </x:c>
      <x:c r="H20" s="18" t="n">
        <x:v>27.99</x:v>
      </x:c>
      <x:c r="I20" s="18" t="n">
        <x:v>0</x:v>
      </x:c>
      <x:c r="J20" s="18" t="n">
        <x:v>27.99</x:v>
      </x:c>
      <x:c r="K20" s="11" t="str">
        <x:v>2509-111629</x:v>
      </x:c>
      <x:c r="L20" s="14" t="n">
        <x:v>45912</x:v>
      </x:c>
      <x:c r="M20" s="11" t="n">
        <x:v>1</x:v>
      </x:c>
      <x:c r="N20" s="11" t="n">
        <x:v>8</x:v>
      </x:c>
      <x:c r="O20" s="18" t="n">
        <x:v>223.92</x:v>
      </x:c>
      <x:c r="P20" s="11" t="str"/>
    </x:row>
    <x:row r="21">
      <x:c r="A21" s="11" t="str">
        <x:v>1068</x:v>
      </x:c>
      <x:c r="B21" s="11" t="str">
        <x:v>2 x 6-8' #1 YP</x:v>
      </x:c>
      <x:c r="C21" s="11" t="str">
        <x:v>EACH</x:v>
      </x:c>
      <x:c r="D21" s="11" t="str">
        <x:v>Material</x:v>
      </x:c>
      <x:c r="E21" s="18" t="n">
        <x:v>4.99</x:v>
      </x:c>
      <x:c r="F21" s="18" t="str">
        <x:v>Lowest observed unit price</x:v>
      </x:c>
      <x:c r="G21" s="18" t="n">
        <x:v>4.99</x:v>
      </x:c>
      <x:c r="H21" s="18" t="n">
        <x:v>4.99</x:v>
      </x:c>
      <x:c r="I21" s="18" t="n">
        <x:v>0</x:v>
      </x:c>
      <x:c r="J21" s="18" t="n">
        <x:v>4.99</x:v>
      </x:c>
      <x:c r="K21" s="11" t="str">
        <x:v>2509-111629</x:v>
      </x:c>
      <x:c r="L21" s="14" t="n">
        <x:v>45912</x:v>
      </x:c>
      <x:c r="M21" s="11" t="n">
        <x:v>1</x:v>
      </x:c>
      <x:c r="N21" s="11" t="n">
        <x:v>20</x:v>
      </x:c>
      <x:c r="O21" s="18" t="n">
        <x:v>99.8</x:v>
      </x:c>
      <x:c r="P21" s="11" t="str"/>
    </x:row>
    <x:row r="22">
      <x:c r="A22" s="11" t="str">
        <x:v>10812</x:v>
      </x:c>
      <x:c r="B22" s="11" t="str">
        <x:v>2 x 8-12 #2 SPF/HF/YP LUMBER</x:v>
      </x:c>
      <x:c r="C22" s="11" t="str">
        <x:v>EACH</x:v>
      </x:c>
      <x:c r="D22" s="11" t="str">
        <x:v>Material</x:v>
      </x:c>
      <x:c r="E22" s="18" t="n">
        <x:v>8.49</x:v>
      </x:c>
      <x:c r="F22" s="18" t="str">
        <x:v>Lowest observed unit price</x:v>
      </x:c>
      <x:c r="G22" s="18" t="n">
        <x:v>8.49</x:v>
      </x:c>
      <x:c r="H22" s="18" t="n">
        <x:v>8.49</x:v>
      </x:c>
      <x:c r="I22" s="18" t="n">
        <x:v>0</x:v>
      </x:c>
      <x:c r="J22" s="18" t="n">
        <x:v>8.49</x:v>
      </x:c>
      <x:c r="K22" s="11" t="str">
        <x:v>2509-111629</x:v>
      </x:c>
      <x:c r="L22" s="14" t="n">
        <x:v>45912</x:v>
      </x:c>
      <x:c r="M22" s="11" t="n">
        <x:v>1</x:v>
      </x:c>
      <x:c r="N22" s="11" t="n">
        <x:v>4</x:v>
      </x:c>
      <x:c r="O22" s="18" t="n">
        <x:v>33.96</x:v>
      </x:c>
      <x:c r="P22" s="11" t="str"/>
    </x:row>
    <x:row r="23">
      <x:c r="A23" s="11" t="str">
        <x:v>10814</x:v>
      </x:c>
      <x:c r="B23" s="11" t="str">
        <x:v>2 x 8-14 #2 SPF/HF/YP LUMBER</x:v>
      </x:c>
      <x:c r="C23" s="11" t="str">
        <x:v>EACH</x:v>
      </x:c>
      <x:c r="D23" s="11" t="str">
        <x:v>Material</x:v>
      </x:c>
      <x:c r="E23" s="18" t="n">
        <x:v>10.49</x:v>
      </x:c>
      <x:c r="F23" s="18" t="str">
        <x:v>Lowest observed unit price</x:v>
      </x:c>
      <x:c r="G23" s="18" t="n">
        <x:v>10.49</x:v>
      </x:c>
      <x:c r="H23" s="18" t="n">
        <x:v>10.49</x:v>
      </x:c>
      <x:c r="I23" s="18" t="n">
        <x:v>0</x:v>
      </x:c>
      <x:c r="J23" s="18" t="n">
        <x:v>10.49</x:v>
      </x:c>
      <x:c r="K23" s="11" t="str">
        <x:v>2509-111629</x:v>
      </x:c>
      <x:c r="L23" s="14" t="n">
        <x:v>45912</x:v>
      </x:c>
      <x:c r="M23" s="11" t="n">
        <x:v>1</x:v>
      </x:c>
      <x:c r="N23" s="11" t="n">
        <x:v>6</x:v>
      </x:c>
      <x:c r="O23" s="18" t="n">
        <x:v>62.94</x:v>
      </x:c>
      <x:c r="P23" s="11" t="str"/>
    </x:row>
    <x:row r="24">
      <x:c r="A24" s="11" t="str">
        <x:v>10816</x:v>
      </x:c>
      <x:c r="B24" s="11" t="str">
        <x:v>2 x 8-16 #2 SPF HF/YP LUMBER</x:v>
      </x:c>
      <x:c r="C24" s="11" t="str">
        <x:v>EACH</x:v>
      </x:c>
      <x:c r="D24" s="11" t="str">
        <x:v>Material</x:v>
      </x:c>
      <x:c r="E24" s="18" t="n">
        <x:v>12.99</x:v>
      </x:c>
      <x:c r="F24" s="18" t="str">
        <x:v>Lowest observed unit price</x:v>
      </x:c>
      <x:c r="G24" s="18" t="n">
        <x:v>12.99</x:v>
      </x:c>
      <x:c r="H24" s="18" t="n">
        <x:v>12.99</x:v>
      </x:c>
      <x:c r="I24" s="18" t="n">
        <x:v>0</x:v>
      </x:c>
      <x:c r="J24" s="18" t="n">
        <x:v>12.99</x:v>
      </x:c>
      <x:c r="K24" s="11" t="str">
        <x:v>2509-111629</x:v>
      </x:c>
      <x:c r="L24" s="14" t="n">
        <x:v>45912</x:v>
      </x:c>
      <x:c r="M24" s="11" t="n">
        <x:v>1</x:v>
      </x:c>
      <x:c r="N24" s="11" t="n">
        <x:v>5</x:v>
      </x:c>
      <x:c r="O24" s="18" t="n">
        <x:v>64.95</x:v>
      </x:c>
      <x:c r="P24" s="11" t="str"/>
    </x:row>
    <x:row r="25">
      <x:c r="A25" s="11" t="str">
        <x:v>10818</x:v>
      </x:c>
      <x:c r="B25" s="11" t="str">
        <x:v>2 x 8-18 #2 SPF/HF/YP LUMBER</x:v>
      </x:c>
      <x:c r="C25" s="11" t="str">
        <x:v>EACH</x:v>
      </x:c>
      <x:c r="D25" s="11" t="str">
        <x:v>Material</x:v>
      </x:c>
      <x:c r="E25" s="18" t="n">
        <x:v>14.19</x:v>
      </x:c>
      <x:c r="F25" s="18" t="str">
        <x:v>Lowest observed unit price</x:v>
      </x:c>
      <x:c r="G25" s="18" t="n">
        <x:v>14.19</x:v>
      </x:c>
      <x:c r="H25" s="18" t="n">
        <x:v>14.19</x:v>
      </x:c>
      <x:c r="I25" s="18" t="n">
        <x:v>0</x:v>
      </x:c>
      <x:c r="J25" s="18" t="n">
        <x:v>14.19</x:v>
      </x:c>
      <x:c r="K25" s="11" t="str">
        <x:v>2509-111629</x:v>
      </x:c>
      <x:c r="L25" s="14" t="n">
        <x:v>45912</x:v>
      </x:c>
      <x:c r="M25" s="11" t="n">
        <x:v>1</x:v>
      </x:c>
      <x:c r="N25" s="11" t="n">
        <x:v>5</x:v>
      </x:c>
      <x:c r="O25" s="18" t="n">
        <x:v>70.95</x:v>
      </x:c>
      <x:c r="P25" s="11" t="str"/>
    </x:row>
    <x:row r="26">
      <x:c r="A26" s="11" t="str">
        <x:v>10820</x:v>
      </x:c>
      <x:c r="B26" s="11" t="str">
        <x:v>2 x 8-20 #2 SPF/HF/Y LUMBER</x:v>
      </x:c>
      <x:c r="C26" s="11" t="str">
        <x:v>EACH</x:v>
      </x:c>
      <x:c r="D26" s="11" t="str">
        <x:v>Material</x:v>
      </x:c>
      <x:c r="E26" s="18" t="n">
        <x:v>15.49</x:v>
      </x:c>
      <x:c r="F26" s="18" t="str">
        <x:v>Lowest observed unit price</x:v>
      </x:c>
      <x:c r="G26" s="18" t="n">
        <x:v>15.49</x:v>
      </x:c>
      <x:c r="H26" s="18" t="n">
        <x:v>15.49</x:v>
      </x:c>
      <x:c r="I26" s="18" t="n">
        <x:v>0</x:v>
      </x:c>
      <x:c r="J26" s="18" t="n">
        <x:v>15.49</x:v>
      </x:c>
      <x:c r="K26" s="11" t="str">
        <x:v>2509-111629</x:v>
      </x:c>
      <x:c r="L26" s="14" t="n">
        <x:v>45912</x:v>
      </x:c>
      <x:c r="M26" s="11" t="n">
        <x:v>1</x:v>
      </x:c>
      <x:c r="N26" s="11" t="n">
        <x:v>3</x:v>
      </x:c>
      <x:c r="O26" s="18" t="n">
        <x:v>46.47</x:v>
      </x:c>
      <x:c r="P26" s="11" t="str"/>
    </x:row>
    <x:row r="27">
      <x:c r="A27" s="11" t="str">
        <x:v>10824</x:v>
      </x:c>
      <x:c r="B27" s="11" t="str">
        <x:v>2 x 8-24 #2 SPF/HF/YP/FJ LUMBER</x:v>
      </x:c>
      <x:c r="C27" s="11" t="str">
        <x:v>EACH</x:v>
      </x:c>
      <x:c r="D27" s="11" t="str">
        <x:v>Material</x:v>
      </x:c>
      <x:c r="E27" s="18" t="n">
        <x:v>37.79</x:v>
      </x:c>
      <x:c r="F27" s="18" t="str">
        <x:v>Lowest observed unit price</x:v>
      </x:c>
      <x:c r="G27" s="18" t="n">
        <x:v>37.79</x:v>
      </x:c>
      <x:c r="H27" s="18" t="n">
        <x:v>37.79</x:v>
      </x:c>
      <x:c r="I27" s="18" t="n">
        <x:v>0</x:v>
      </x:c>
      <x:c r="J27" s="18" t="n">
        <x:v>37.79</x:v>
      </x:c>
      <x:c r="K27" s="11" t="str">
        <x:v>2509-111629</x:v>
      </x:c>
      <x:c r="L27" s="14" t="n">
        <x:v>45912</x:v>
      </x:c>
      <x:c r="M27" s="11" t="n">
        <x:v>1</x:v>
      </x:c>
      <x:c r="N27" s="11" t="n">
        <x:v>3</x:v>
      </x:c>
      <x:c r="O27" s="18" t="n">
        <x:v>113.37</x:v>
      </x:c>
      <x:c r="P27" s="11" t="str"/>
    </x:row>
    <x:row r="28">
      <x:c r="A28" s="11" t="str">
        <x:v>1512ST</x:v>
      </x:c>
      <x:c r="B28" s="11" t="str">
        <x:v>1 x 2 - 16' SMART TRIM</x:v>
      </x:c>
      <x:c r="C28" s="11" t="str">
        <x:v>EACH</x:v>
      </x:c>
      <x:c r="D28" s="11" t="str">
        <x:v>Material</x:v>
      </x:c>
      <x:c r="E28" s="18" t="n">
        <x:v>8.39</x:v>
      </x:c>
      <x:c r="F28" s="18" t="str">
        <x:v>Lowest observed unit price</x:v>
      </x:c>
      <x:c r="G28" s="18" t="n">
        <x:v>8.39</x:v>
      </x:c>
      <x:c r="H28" s="18" t="n">
        <x:v>8.39</x:v>
      </x:c>
      <x:c r="I28" s="18" t="n">
        <x:v>0</x:v>
      </x:c>
      <x:c r="J28" s="18" t="n">
        <x:v>8.39</x:v>
      </x:c>
      <x:c r="K28" s="11" t="str">
        <x:v>2509-111629</x:v>
      </x:c>
      <x:c r="L28" s="14" t="n">
        <x:v>45912</x:v>
      </x:c>
      <x:c r="M28" s="11" t="n">
        <x:v>1</x:v>
      </x:c>
      <x:c r="N28" s="11" t="n">
        <x:v>21</x:v>
      </x:c>
      <x:c r="O28" s="18" t="n">
        <x:v>176.19</x:v>
      </x:c>
      <x:c r="P28" s="11" t="str"/>
    </x:row>
    <x:row r="29">
      <x:c r="A29" s="11" t="str">
        <x:v>1518ST</x:v>
      </x:c>
      <x:c r="B29" s="11" t="str">
        <x:v>1 x 8 - 16' SMART TRIM</x:v>
      </x:c>
      <x:c r="C29" s="11" t="str">
        <x:v>EACH</x:v>
      </x:c>
      <x:c r="D29" s="11" t="str">
        <x:v>Material</x:v>
      </x:c>
      <x:c r="E29" s="18" t="n">
        <x:v>34.49</x:v>
      </x:c>
      <x:c r="F29" s="18" t="str">
        <x:v>Lowest observed unit price</x:v>
      </x:c>
      <x:c r="G29" s="18" t="n">
        <x:v>34.49</x:v>
      </x:c>
      <x:c r="H29" s="18" t="n">
        <x:v>34.49</x:v>
      </x:c>
      <x:c r="I29" s="18" t="n">
        <x:v>0</x:v>
      </x:c>
      <x:c r="J29" s="18" t="n">
        <x:v>34.49</x:v>
      </x:c>
      <x:c r="K29" s="11" t="str">
        <x:v>2509-111629</x:v>
      </x:c>
      <x:c r="L29" s="14" t="n">
        <x:v>45912</x:v>
      </x:c>
      <x:c r="M29" s="11" t="n">
        <x:v>1</x:v>
      </x:c>
      <x:c r="N29" s="11" t="n">
        <x:v>21</x:v>
      </x:c>
      <x:c r="O29" s="18" t="n">
        <x:v>724.29</x:v>
      </x:c>
      <x:c r="P29" s="11" t="str"/>
    </x:row>
    <x:row r="30">
      <x:c r="A30" s="11" t="str">
        <x:v>1616SSNV</x:v>
      </x:c>
      <x:c r="B30" s="11" t="str">
        <x:v>16" x 16' TEXTURED SMART SOFFIT (NON-VENTED)</x:v>
      </x:c>
      <x:c r="C30" s="11" t="str">
        <x:v>EA</x:v>
      </x:c>
      <x:c r="D30" s="11" t="str">
        <x:v>Material</x:v>
      </x:c>
      <x:c r="E30" s="18" t="n">
        <x:v>39.99</x:v>
      </x:c>
      <x:c r="F30" s="18" t="str">
        <x:v>Lowest observed unit price</x:v>
      </x:c>
      <x:c r="G30" s="18" t="n">
        <x:v>39.99</x:v>
      </x:c>
      <x:c r="H30" s="18" t="n">
        <x:v>39.99</x:v>
      </x:c>
      <x:c r="I30" s="18" t="n">
        <x:v>0</x:v>
      </x:c>
      <x:c r="J30" s="18" t="n">
        <x:v>39.99</x:v>
      </x:c>
      <x:c r="K30" s="11" t="str">
        <x:v>2509-111629</x:v>
      </x:c>
      <x:c r="L30" s="14" t="n">
        <x:v>45912</x:v>
      </x:c>
      <x:c r="M30" s="11" t="n">
        <x:v>1</x:v>
      </x:c>
      <x:c r="N30" s="11" t="n">
        <x:v>18</x:v>
      </x:c>
      <x:c r="O30" s="18" t="n">
        <x:v>719.82</x:v>
      </x:c>
      <x:c r="P30" s="11" t="str"/>
    </x:row>
    <x:row r="31">
      <x:c r="A31" s="11" t="str">
        <x:v>20416</x:v>
      </x:c>
      <x:c r="B31" s="11" t="str">
        <x:v>2 x 4-16' TREATED LUMBER</x:v>
      </x:c>
      <x:c r="C31" s="11" t="str">
        <x:v>EACH</x:v>
      </x:c>
      <x:c r="D31" s="11" t="str">
        <x:v>Material</x:v>
      </x:c>
      <x:c r="E31" s="18" t="n">
        <x:v>9.99</x:v>
      </x:c>
      <x:c r="F31" s="18" t="str">
        <x:v>Lowest observed unit price</x:v>
      </x:c>
      <x:c r="G31" s="18" t="n">
        <x:v>9.99</x:v>
      </x:c>
      <x:c r="H31" s="18" t="n">
        <x:v>9.99</x:v>
      </x:c>
      <x:c r="I31" s="18" t="n">
        <x:v>0</x:v>
      </x:c>
      <x:c r="J31" s="18" t="n">
        <x:v>9.99</x:v>
      </x:c>
      <x:c r="K31" s="11" t="str">
        <x:v>2509-105909</x:v>
      </x:c>
      <x:c r="L31" s="14" t="n">
        <x:v>45910</x:v>
      </x:c>
      <x:c r="M31" s="11" t="n">
        <x:v>1</x:v>
      </x:c>
      <x:c r="N31" s="11" t="n">
        <x:v>18</x:v>
      </x:c>
      <x:c r="O31" s="18" t="n">
        <x:v>179.82</x:v>
      </x:c>
      <x:c r="P31" s="11" t="str"/>
    </x:row>
    <x:row r="32">
      <x:c r="A32" s="11" t="str">
        <x:v>20610</x:v>
      </x:c>
      <x:c r="B32" s="11" t="str">
        <x:v>2 x 6-10' TREATED LUMBER</x:v>
      </x:c>
      <x:c r="C32" s="11" t="str">
        <x:v>EACH</x:v>
      </x:c>
      <x:c r="D32" s="11" t="str">
        <x:v>Material</x:v>
      </x:c>
      <x:c r="E32" s="18" t="n">
        <x:v>9.59</x:v>
      </x:c>
      <x:c r="F32" s="18" t="str">
        <x:v>Lowest observed unit price</x:v>
      </x:c>
      <x:c r="G32" s="18" t="n">
        <x:v>9.59</x:v>
      </x:c>
      <x:c r="H32" s="18" t="n">
        <x:v>9.59</x:v>
      </x:c>
      <x:c r="I32" s="18" t="n">
        <x:v>0</x:v>
      </x:c>
      <x:c r="J32" s="18" t="n">
        <x:v>9.59</x:v>
      </x:c>
      <x:c r="K32" s="11" t="str">
        <x:v>2509-105909</x:v>
      </x:c>
      <x:c r="L32" s="14" t="n">
        <x:v>45910</x:v>
      </x:c>
      <x:c r="M32" s="11" t="n">
        <x:v>1</x:v>
      </x:c>
      <x:c r="N32" s="11" t="n">
        <x:v>1</x:v>
      </x:c>
      <x:c r="O32" s="18" t="n">
        <x:v>9.59</x:v>
      </x:c>
      <x:c r="P32" s="11" t="str"/>
    </x:row>
    <x:row r="33">
      <x:c r="A33" s="11" t="str">
        <x:v>20616</x:v>
      </x:c>
      <x:c r="B33" s="11" t="str">
        <x:v>2 x 6-16' TREATED LUMBER</x:v>
      </x:c>
      <x:c r="C33" s="11" t="str">
        <x:v>EACH</x:v>
      </x:c>
      <x:c r="D33" s="11" t="str">
        <x:v>Material</x:v>
      </x:c>
      <x:c r="E33" s="18" t="n">
        <x:v>15.49</x:v>
      </x:c>
      <x:c r="F33" s="18" t="str">
        <x:v>Lowest observed unit price</x:v>
      </x:c>
      <x:c r="G33" s="18" t="n">
        <x:v>15.49</x:v>
      </x:c>
      <x:c r="H33" s="18" t="n">
        <x:v>15.49</x:v>
      </x:c>
      <x:c r="I33" s="18" t="n">
        <x:v>0</x:v>
      </x:c>
      <x:c r="J33" s="18" t="n">
        <x:v>15.49</x:v>
      </x:c>
      <x:c r="K33" s="11" t="str">
        <x:v>2509-105909</x:v>
      </x:c>
      <x:c r="L33" s="14" t="n">
        <x:v>45910</x:v>
      </x:c>
      <x:c r="M33" s="11" t="n">
        <x:v>1</x:v>
      </x:c>
      <x:c r="N33" s="11" t="n">
        <x:v>1</x:v>
      </x:c>
      <x:c r="O33" s="18" t="n">
        <x:v>15.49</x:v>
      </x:c>
      <x:c r="P33" s="11" t="str"/>
    </x:row>
    <x:row r="34">
      <x:c r="A34" s="11" t="str">
        <x:v>2516</x:v>
      </x:c>
      <x:c r="B34" s="11" t="str">
        <x:v>4 x 8 7/16 OSB</x:v>
      </x:c>
      <x:c r="C34" s="11" t="str">
        <x:v>EACH</x:v>
      </x:c>
      <x:c r="D34" s="11" t="str">
        <x:v>Material</x:v>
      </x:c>
      <x:c r="E34" s="18" t="n">
        <x:v>8.99</x:v>
      </x:c>
      <x:c r="F34" s="18" t="str">
        <x:v>Lowest observed unit price</x:v>
      </x:c>
      <x:c r="G34" s="18" t="n">
        <x:v>8.99</x:v>
      </x:c>
      <x:c r="H34" s="18" t="n">
        <x:v>8.99</x:v>
      </x:c>
      <x:c r="I34" s="18" t="n">
        <x:v>0</x:v>
      </x:c>
      <x:c r="J34" s="18" t="n">
        <x:v>8.99</x:v>
      </x:c>
      <x:c r="K34" s="11" t="str">
        <x:v>2509-105909</x:v>
      </x:c>
      <x:c r="L34" s="14" t="n">
        <x:v>45910</x:v>
      </x:c>
      <x:c r="M34" s="11" t="n">
        <x:v>1</x:v>
      </x:c>
      <x:c r="N34" s="11" t="n">
        <x:v>4</x:v>
      </x:c>
      <x:c r="O34" s="18" t="n">
        <x:v>35.96</x:v>
      </x:c>
      <x:c r="P34" s="11" t="str"/>
    </x:row>
    <x:row r="35">
      <x:c r="A35" s="11" t="str">
        <x:v>251610</x:v>
      </x:c>
      <x:c r="B35" s="11" t="str">
        <x:v>4 x 10 7/16" WINDBRACE OSB (48" x 121")</x:v>
      </x:c>
      <x:c r="C35" s="11" t="str">
        <x:v>EACH</x:v>
      </x:c>
      <x:c r="D35" s="11" t="str">
        <x:v>Material</x:v>
      </x:c>
      <x:c r="E35" s="18" t="n">
        <x:v>13.19</x:v>
      </x:c>
      <x:c r="F35" s="18" t="str">
        <x:v>Lowest observed unit price</x:v>
      </x:c>
      <x:c r="G35" s="18" t="n">
        <x:v>13.19</x:v>
      </x:c>
      <x:c r="H35" s="18" t="n">
        <x:v>13.19</x:v>
      </x:c>
      <x:c r="I35" s="18" t="n">
        <x:v>0</x:v>
      </x:c>
      <x:c r="J35" s="18" t="n">
        <x:v>13.19</x:v>
      </x:c>
      <x:c r="K35" s="11" t="str">
        <x:v>2509-110047</x:v>
      </x:c>
      <x:c r="L35" s="14" t="n">
        <x:v>45911</x:v>
      </x:c>
      <x:c r="M35" s="11" t="n">
        <x:v>1</x:v>
      </x:c>
      <x:c r="N35" s="11" t="n">
        <x:v>30</x:v>
      </x:c>
      <x:c r="O35" s="18" t="n">
        <x:v>395.7</x:v>
      </x:c>
      <x:c r="P35" s="11" t="str"/>
    </x:row>
    <x:row r="36">
      <x:c r="A36" s="11" t="str">
        <x:v>25169</x:v>
      </x:c>
      <x:c r="B36" s="11" t="str">
        <x:v>4 x 9 7/16" WINDBRACE OSB (48" x 109")</x:v>
      </x:c>
      <x:c r="C36" s="11" t="str">
        <x:v>EA</x:v>
      </x:c>
      <x:c r="D36" s="11" t="str">
        <x:v>Material</x:v>
      </x:c>
      <x:c r="E36" s="18" t="n">
        <x:v>11.99</x:v>
      </x:c>
      <x:c r="F36" s="18" t="str">
        <x:v>Lowest observed unit price</x:v>
      </x:c>
      <x:c r="G36" s="18" t="n">
        <x:v>11.99</x:v>
      </x:c>
      <x:c r="H36" s="18" t="n">
        <x:v>11.99</x:v>
      </x:c>
      <x:c r="I36" s="18" t="n">
        <x:v>0</x:v>
      </x:c>
      <x:c r="J36" s="18" t="n">
        <x:v>11.99</x:v>
      </x:c>
      <x:c r="K36" s="11" t="str">
        <x:v>2509-110047</x:v>
      </x:c>
      <x:c r="L36" s="14" t="n">
        <x:v>45911</x:v>
      </x:c>
      <x:c r="M36" s="11" t="n">
        <x:v>1</x:v>
      </x:c>
      <x:c r="N36" s="11" t="n">
        <x:v>48</x:v>
      </x:c>
      <x:c r="O36" s="18" t="n">
        <x:v>575.52</x:v>
      </x:c>
      <x:c r="P36" s="11" t="str"/>
    </x:row>
    <x:row r="37">
      <x:c r="A37" s="11" t="str">
        <x:v>307</x:v>
      </x:c>
      <x:c r="B37" s="11" t="str">
        <x:v>3 1/2" x 50' DOW SILL SEAL</x:v>
      </x:c>
      <x:c r="C37" s="11" t="str">
        <x:v>EACH</x:v>
      </x:c>
      <x:c r="D37" s="11" t="str">
        <x:v>Material</x:v>
      </x:c>
      <x:c r="E37" s="18" t="n">
        <x:v>4.99</x:v>
      </x:c>
      <x:c r="F37" s="18" t="str">
        <x:v>Lowest observed unit price</x:v>
      </x:c>
      <x:c r="G37" s="18" t="n">
        <x:v>4.99</x:v>
      </x:c>
      <x:c r="H37" s="18" t="n">
        <x:v>4.99</x:v>
      </x:c>
      <x:c r="I37" s="18" t="n">
        <x:v>0</x:v>
      </x:c>
      <x:c r="J37" s="18" t="n">
        <x:v>4.99</x:v>
      </x:c>
      <x:c r="K37" s="11" t="str">
        <x:v>2509-105909</x:v>
      </x:c>
      <x:c r="L37" s="14" t="n">
        <x:v>45910</x:v>
      </x:c>
      <x:c r="M37" s="11" t="n">
        <x:v>1</x:v>
      </x:c>
      <x:c r="N37" s="11" t="n">
        <x:v>5</x:v>
      </x:c>
      <x:c r="O37" s="18" t="n">
        <x:v>24.95</x:v>
      </x:c>
      <x:c r="P37" s="11" t="str"/>
    </x:row>
    <x:row r="38">
      <x:c r="A38" s="11" t="str">
        <x:v>50618</x:v>
      </x:c>
      <x:c r="B38" s="11" t="str">
        <x:v>18" CUT FELT (100 SQ. FT)</x:v>
      </x:c>
      <x:c r="C38" s="11" t="str">
        <x:v>EACH</x:v>
      </x:c>
      <x:c r="D38" s="11" t="str">
        <x:v>Material</x:v>
      </x:c>
      <x:c r="E38" s="18" t="n">
        <x:v>15.49</x:v>
      </x:c>
      <x:c r="F38" s="18" t="str">
        <x:v>Lowest observed unit price</x:v>
      </x:c>
      <x:c r="G38" s="18" t="n">
        <x:v>15.49</x:v>
      </x:c>
      <x:c r="H38" s="18" t="n">
        <x:v>15.49</x:v>
      </x:c>
      <x:c r="I38" s="18" t="n">
        <x:v>0</x:v>
      </x:c>
      <x:c r="J38" s="18" t="n">
        <x:v>15.49</x:v>
      </x:c>
      <x:c r="K38" s="11" t="str">
        <x:v>2509-105909</x:v>
      </x:c>
      <x:c r="L38" s="14" t="n">
        <x:v>45910</x:v>
      </x:c>
      <x:c r="M38" s="11" t="n">
        <x:v>1</x:v>
      </x:c>
      <x:c r="N38" s="11" t="n">
        <x:v>3</x:v>
      </x:c>
      <x:c r="O38" s="18" t="n">
        <x:v>46.47</x:v>
      </x:c>
      <x:c r="P38" s="11" t="str"/>
    </x:row>
    <x:row r="39">
      <x:c r="A39" s="11" t="str">
        <x:v>808</x:v>
      </x:c>
      <x:c r="B39" s="11" t="str">
        <x:v>5 1/2" x 50' DOW SILL SEAL</x:v>
      </x:c>
      <x:c r="C39" s="11" t="str">
        <x:v>EACH</x:v>
      </x:c>
      <x:c r="D39" s="11" t="str">
        <x:v>Material</x:v>
      </x:c>
      <x:c r="E39" s="18" t="n">
        <x:v>7.19</x:v>
      </x:c>
      <x:c r="F39" s="18" t="str">
        <x:v>Lowest observed unit price</x:v>
      </x:c>
      <x:c r="G39" s="18" t="n">
        <x:v>7.19</x:v>
      </x:c>
      <x:c r="H39" s="18" t="n">
        <x:v>7.19</x:v>
      </x:c>
      <x:c r="I39" s="18" t="n">
        <x:v>0</x:v>
      </x:c>
      <x:c r="J39" s="18" t="n">
        <x:v>7.19</x:v>
      </x:c>
      <x:c r="K39" s="11" t="str">
        <x:v>2509-105909</x:v>
      </x:c>
      <x:c r="L39" s="14" t="n">
        <x:v>45910</x:v>
      </x:c>
      <x:c r="M39" s="11" t="n">
        <x:v>1</x:v>
      </x:c>
      <x:c r="N39" s="11" t="n">
        <x:v>1</x:v>
      </x:c>
      <x:c r="O39" s="18" t="n">
        <x:v>7.19</x:v>
      </x:c>
      <x:c r="P39" s="11" t="str"/>
    </x:row>
    <x:row r="40">
      <x:c r="A40" s="11" t="str">
        <x:v>LVL1616</x:v>
      </x:c>
      <x:c r="B40" s="11" t="str">
        <x:v>1 3/4" x 16" LVL - 16'</x:v>
      </x:c>
      <x:c r="C40" s="11" t="str">
        <x:v>EA</x:v>
      </x:c>
      <x:c r="D40" s="11" t="str">
        <x:v>Material</x:v>
      </x:c>
      <x:c r="E40" s="18" t="n">
        <x:v>183</x:v>
      </x:c>
      <x:c r="F40" s="18" t="str">
        <x:v>Lowest observed unit price</x:v>
      </x:c>
      <x:c r="G40" s="18" t="n">
        <x:v>183</x:v>
      </x:c>
      <x:c r="H40" s="18" t="n">
        <x:v>183</x:v>
      </x:c>
      <x:c r="I40" s="18" t="n">
        <x:v>0</x:v>
      </x:c>
      <x:c r="J40" s="18" t="n">
        <x:v>183</x:v>
      </x:c>
      <x:c r="K40" s="11" t="str">
        <x:v>2509-110047</x:v>
      </x:c>
      <x:c r="L40" s="14" t="n">
        <x:v>45911</x:v>
      </x:c>
      <x:c r="M40" s="11" t="n">
        <x:v>1</x:v>
      </x:c>
      <x:c r="N40" s="11" t="n">
        <x:v>2</x:v>
      </x:c>
      <x:c r="O40" s="18" t="n">
        <x:v>366</x:v>
      </x:c>
      <x:c r="P40" s="11" t="str"/>
    </x:row>
    <x:row r="41">
      <x:c r="A41" s="11" t="str">
        <x:v>LVL1620</x:v>
      </x:c>
      <x:c r="B41" s="11" t="str">
        <x:v>1 3/4" x 16" LVL - 20'</x:v>
      </x:c>
      <x:c r="C41" s="11" t="str">
        <x:v>EA</x:v>
      </x:c>
      <x:c r="D41" s="11" t="str">
        <x:v>Material</x:v>
      </x:c>
      <x:c r="E41" s="18" t="n">
        <x:v>229</x:v>
      </x:c>
      <x:c r="F41" s="18" t="str">
        <x:v>Lowest observed unit price</x:v>
      </x:c>
      <x:c r="G41" s="18" t="n">
        <x:v>229</x:v>
      </x:c>
      <x:c r="H41" s="18" t="n">
        <x:v>229</x:v>
      </x:c>
      <x:c r="I41" s="18" t="n">
        <x:v>0</x:v>
      </x:c>
      <x:c r="J41" s="18" t="n">
        <x:v>229</x:v>
      </x:c>
      <x:c r="K41" s="11" t="str">
        <x:v>2509-110047</x:v>
      </x:c>
      <x:c r="L41" s="14" t="n">
        <x:v>45911</x:v>
      </x:c>
      <x:c r="M41" s="11" t="n">
        <x:v>1</x:v>
      </x:c>
      <x:c r="N41" s="11" t="n">
        <x:v>2</x:v>
      </x:c>
      <x:c r="O41" s="18" t="n">
        <x:v>458</x:v>
      </x:c>
      <x:c r="P41" s="11" t="str"/>
    </x:row>
  </x:sheetData>
  <x:pageMargins left="0.7" right="0.7" top="0.75" bottom="0.75" header="0.3" footer="0.3"/>
  <x:tableParts count="1">
    <x:tablePart xmlns:r="http://schemas.openxmlformats.org/officeDocument/2006/relationships" r:id="Reabeb30409de41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2" hidden="0" customWidth="1"/>
    <x:col min="5" max="5" width="18" hidden="0" customWidth="1"/>
    <x:col min="6" max="6" width="18" hidden="0" customWidth="1"/>
    <x:col min="7" max="7" width="14" hidden="0" customWidth="1"/>
    <x:col min="8" max="8" width="16" hidden="0" customWidth="1"/>
    <x:col min="9" max="9" width="50" hidden="0" customWidth="1"/>
  </x:cols>
  <x:sheetData>
    <x:row r="1">
      <x:c r="A1" s="36" t="str">
        <x:v>Invoice #</x:v>
      </x:c>
      <x:c r="B1" s="36" t="str">
        <x:v>Invoice Date</x:v>
      </x:c>
      <x:c r="C1" s="36" t="str">
        <x:v>Page Status</x:v>
      </x:c>
      <x:c r="D1" s="36" t="str">
        <x:v>Visible Lines</x:v>
      </x:c>
      <x:c r="E1" s="36" t="str">
        <x:v>Visible Line Subtotal</x:v>
      </x:c>
      <x:c r="F1" s="36" t="str">
        <x:v>Invoice Subtotal Shown</x:v>
      </x:c>
      <x:c r="G1" s="36" t="str">
        <x:v>Sales Tax Shown</x:v>
      </x:c>
      <x:c r="H1" s="36" t="str">
        <x:v>Invoice Total Shown</x:v>
      </x:c>
      <x:c r="I1" s="36" t="str">
        <x:v>Extraction Notes</x:v>
      </x:c>
    </x:row>
    <x:row r="2">
      <x:c r="A2" s="11" t="str">
        <x:v>2509-105909</x:v>
      </x:c>
      <x:c r="B2" s="14" t="n">
        <x:v>45910</x:v>
      </x:c>
      <x:c r="C2" s="11" t="str">
        <x:v>Incomplete: page 1 of 2 only</x:v>
      </x:c>
      <x:c r="D2" s="11" t="n">
        <x:v>13</x:v>
      </x:c>
      <x:c r="E2" s="18" t="n">
        <x:v>4101.45</x:v>
      </x:c>
      <x:c r="F2" s="18"/>
      <x:c r="G2" s="18"/>
      <x:c r="H2" s="18"/>
      <x:c r="I2" s="11" t="str">
        <x:v>Upload page 2 to finish this invoice; totals not visible on the uploaded page.</x:v>
      </x:c>
    </x:row>
    <x:row r="3">
      <x:c r="A3" s="11" t="str">
        <x:v>2509-110047</x:v>
      </x:c>
      <x:c r="B3" s="14" t="n">
        <x:v>45911</x:v>
      </x:c>
      <x:c r="C3" s="11" t="str">
        <x:v>Complete: 1 of 1</x:v>
      </x:c>
      <x:c r="D3" s="11" t="n">
        <x:v>13</x:v>
      </x:c>
      <x:c r="E3" s="18" t="n">
        <x:v>3666.28</x:v>
      </x:c>
      <x:c r="F3" s="18" t="n">
        <x:v>3666.28</x:v>
      </x:c>
      <x:c r="G3" s="18" t="n">
        <x:v>302.47</x:v>
      </x:c>
      <x:c r="H3" s="18" t="n">
        <x:v>3968.75</x:v>
      </x:c>
      <x:c r="I3" s="11" t="str"/>
    </x:row>
    <x:row r="4">
      <x:c r="A4" s="11" t="str">
        <x:v>2509-111629</x:v>
      </x:c>
      <x:c r="B4" s="14" t="n">
        <x:v>45912</x:v>
      </x:c>
      <x:c r="C4" s="11" t="str">
        <x:v>Complete: 1 of 1</x:v>
      </x:c>
      <x:c r="D4" s="11" t="n">
        <x:v>19</x:v>
      </x:c>
      <x:c r="E4" s="18" t="n">
        <x:v>4458.02</x:v>
      </x:c>
      <x:c r="F4" s="18" t="n">
        <x:v>4458.02</x:v>
      </x:c>
      <x:c r="G4" s="18" t="n">
        <x:v>367.79</x:v>
      </x:c>
      <x:c r="H4" s="18" t="n">
        <x:v>4825.81</x:v>
      </x:c>
      <x:c r="I4" s="11" t="str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</x:row>
    <x:row r="6">
      <x:c r="A6" s="39" t="str">
        <x:v>Total visible material/delivery spend</x:v>
      </x:c>
      <x:c r="B6" s="18" t="n">
        <x:f>SUM(E2:E4)</x:f>
        <x:v>12225.75</x:v>
      </x:c>
      <x:c r="C6" s="11"/>
      <x:c r="D6" s="11"/>
      <x:c r="E6" s="11"/>
      <x:c r="F6" s="11"/>
      <x:c r="G6" s="11"/>
      <x:c r="H6" s="11"/>
      <x:c r="I6" s="11"/>
    </x:row>
    <x:row r="7">
      <x:c r="A7" s="39" t="str">
        <x:v>Complete invoice total spend</x:v>
      </x:c>
      <x:c r="B7" s="18" t="n">
        <x:f>SUM(H3:H4)</x:f>
        <x:v>8794.560000000001</x:v>
      </x:c>
      <x:c r="C7" s="11"/>
      <x:c r="D7" s="11"/>
      <x:c r="E7" s="11"/>
      <x:c r="F7" s="11"/>
      <x:c r="G7" s="11"/>
      <x:c r="H7" s="11"/>
      <x:c r="I7" s="11"/>
    </x:row>
    <x:row r="8">
      <x:c r="A8" s="39" t="str">
        <x:v>Missing pages</x:v>
      </x:c>
      <x:c r="B8" s="18" t="n">
        <x:f>COUNTIF(C2:C4,"Incomplete*")</x:f>
        <x:v>0</x:v>
      </x:c>
      <x:c r="C8" s="11"/>
      <x:c r="D8" s="11"/>
      <x:c r="E8" s="11"/>
      <x:c r="F8" s="11"/>
      <x:c r="G8" s="11"/>
      <x:c r="H8" s="11"/>
      <x:c r="I8" s="11"/>
    </x:row>
  </x:sheetData>
  <x:pageMargins left="0.7" right="0.7" top="0.75" bottom="0.75" header="0.3" footer="0.3"/>
  <x:tableParts count="1">
    <x:tablePart xmlns:r="http://schemas.openxmlformats.org/officeDocument/2006/relationships" r:id="Rdfde557043dc41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9" hidden="0" customWidth="1"/>
    <x:col min="4" max="4" width="9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8" hidden="0" customWidth="1"/>
    <x:col min="11" max="11" width="20" hidden="0" customWidth="1"/>
    <x:col min="12" max="12" width="35" hidden="0" customWidth="1"/>
    <x:col min="14" max="14" width="28" hidden="0" customWidth="1"/>
    <x:col min="15" max="15" width="12" hidden="0" customWidth="1"/>
  </x:cols>
  <x:sheetData>
    <x:row r="1">
      <x:c r="A1" s="50" t="str">
        <x:v>Item #</x:v>
      </x:c>
      <x:c r="B1" s="50" t="str">
        <x:v>Description</x:v>
      </x:c>
      <x:c r="C1" s="50" t="str">
        <x:v>UM</x:v>
      </x:c>
      <x:c r="D1" s="50" t="str">
        <x:v>Qty</x:v>
      </x:c>
      <x:c r="E1" s="50" t="str">
        <x:v>Invoice Unit Price</x:v>
      </x:c>
      <x:c r="F1" s="50" t="str">
        <x:v>Invoice Line Amount</x:v>
      </x:c>
      <x:c r="G1" s="50" t="str">
        <x:v>Baseline Unit Price</x:v>
      </x:c>
      <x:c r="H1" s="50" t="str">
        <x:v>Allowed Variance</x:v>
      </x:c>
      <x:c r="I1" s="50" t="str">
        <x:v>Variance / Unit</x:v>
      </x:c>
      <x:c r="J1" s="50" t="str">
        <x:v>Potential Overcharge</x:v>
      </x:c>
      <x:c r="K1" s="50" t="str">
        <x:v>Status</x:v>
      </x:c>
      <x:c r="L1" s="50" t="str">
        <x:v>Notes</x:v>
      </x:c>
      <x:c r="N1" s="4" t="str">
        <x:v>Setting</x:v>
      </x:c>
      <x:c r="O1" s="4" t="str">
        <x:v>Value</x:v>
      </x:c>
    </x:row>
    <x:row r="2">
      <x:c r="A2" s="11"/>
      <x:c r="B2" s="11"/>
      <x:c r="C2" s="11"/>
      <x:c r="D2" s="16"/>
      <x:c r="E2" s="18"/>
      <x:c r="F2" s="18" t="str">
        <x:f>IF(OR(D2="",E2=""),"",D2*E2)</x:f>
      </x:c>
      <x:c r="G2" s="18" t="str">
        <x:f>IFERROR(XLOOKUP(A2,'Baseline Price List'!$A:$A,'Baseline Price List'!$E:$E),"NEW ITEM")</x:f>
        <x:v>NEW ITEM</x:v>
      </x:c>
      <x:c r="H2" s="18" t="n">
        <x:f>$O$2</x:f>
        <x:v>0</x:v>
      </x:c>
      <x:c r="I2" s="18" t="str">
        <x:f>IF(OR(E2="",G2="NEW ITEM"),"",E2-G2)</x:f>
      </x:c>
      <x:c r="J2" s="18" t="str">
        <x:f>IF(OR(I2="",D2=""),"",MAX(0,I2-H2)*D2)</x:f>
      </x:c>
      <x:c r="K2" s="11" t="str">
        <x:f>IF(A2="","",IF(G2="NEW ITEM","NEW ITEM - REVIEW",IF(E2&gt;G2+H2,"OVER BASELINE","OK")))</x:f>
      </x:c>
      <x:c r="L2" s="11"/>
      <x:c r="N2" t="str">
        <x:v>Allowed unit price variance</x:v>
      </x:c>
      <x:c r="O2" s="42" t="n">
        <x:v>0</x:v>
      </x:c>
    </x:row>
    <x:row r="3">
      <x:c r="A3" s="11"/>
      <x:c r="B3" s="11"/>
      <x:c r="C3" s="11"/>
      <x:c r="D3" s="16"/>
      <x:c r="E3" s="18"/>
      <x:c r="F3" s="18" t="str">
        <x:f>IF(OR(D3="",E3=""),"",D3*E3)</x:f>
      </x:c>
      <x:c r="G3" s="18" t="str">
        <x:f>IFERROR(XLOOKUP(A3,'Baseline Price List'!$A:$A,'Baseline Price List'!$E:$E),"NEW ITEM")</x:f>
        <x:v>NEW ITEM</x:v>
      </x:c>
      <x:c r="H3" s="18" t="n">
        <x:f>$O$2</x:f>
        <x:v>0</x:v>
      </x:c>
      <x:c r="I3" s="18" t="str">
        <x:f>IF(OR(E3="",G3="NEW ITEM"),"",E3-G3)</x:f>
      </x:c>
      <x:c r="J3" s="18" t="str">
        <x:f>IF(OR(I3="",D3=""),"",MAX(0,I3-H3)*D3)</x:f>
      </x:c>
      <x:c r="K3" s="11" t="str">
        <x:f>IF(A3="","",IF(G3="NEW ITEM","NEW ITEM - REVIEW",IF(E3&gt;G3+H3,"OVER BASELINE","OK")))</x:f>
      </x:c>
      <x:c r="L3" s="11"/>
    </x:row>
    <x:row r="4">
      <x:c r="A4" s="11"/>
      <x:c r="B4" s="11"/>
      <x:c r="C4" s="11"/>
      <x:c r="D4" s="16"/>
      <x:c r="E4" s="18"/>
      <x:c r="F4" s="18" t="str">
        <x:f>IF(OR(D4="",E4=""),"",D4*E4)</x:f>
      </x:c>
      <x:c r="G4" s="18" t="str">
        <x:f>IFERROR(XLOOKUP(A4,'Baseline Price List'!$A:$A,'Baseline Price List'!$E:$E),"NEW ITEM")</x:f>
        <x:v>NEW ITEM</x:v>
      </x:c>
      <x:c r="H4" s="18" t="n">
        <x:f>$O$2</x:f>
        <x:v>0</x:v>
      </x:c>
      <x:c r="I4" s="18" t="str">
        <x:f>IF(OR(E4="",G4="NEW ITEM"),"",E4-G4)</x:f>
      </x:c>
      <x:c r="J4" s="18" t="str">
        <x:f>IF(OR(I4="",D4=""),"",MAX(0,I4-H4)*D4)</x:f>
      </x:c>
      <x:c r="K4" s="11" t="str">
        <x:f>IF(A4="","",IF(G4="NEW ITEM","NEW ITEM - REVIEW",IF(E4&gt;G4+H4,"OVER BASELINE","OK")))</x:f>
      </x:c>
      <x:c r="L4" s="11"/>
    </x:row>
    <x:row r="5">
      <x:c r="A5" s="11"/>
      <x:c r="B5" s="11"/>
      <x:c r="C5" s="11"/>
      <x:c r="D5" s="16"/>
      <x:c r="E5" s="18"/>
      <x:c r="F5" s="18" t="str">
        <x:f>IF(OR(D5="",E5=""),"",D5*E5)</x:f>
      </x:c>
      <x:c r="G5" s="18" t="str">
        <x:f>IFERROR(XLOOKUP(A5,'Baseline Price List'!$A:$A,'Baseline Price List'!$E:$E),"NEW ITEM")</x:f>
        <x:v>NEW ITEM</x:v>
      </x:c>
      <x:c r="H5" s="18" t="n">
        <x:f>$O$2</x:f>
        <x:v>0</x:v>
      </x:c>
      <x:c r="I5" s="18" t="str">
        <x:f>IF(OR(E5="",G5="NEW ITEM"),"",E5-G5)</x:f>
      </x:c>
      <x:c r="J5" s="18" t="str">
        <x:f>IF(OR(I5="",D5=""),"",MAX(0,I5-H5)*D5)</x:f>
      </x:c>
      <x:c r="K5" s="11" t="str">
        <x:f>IF(A5="","",IF(G5="NEW ITEM","NEW ITEM - REVIEW",IF(E5&gt;G5+H5,"OVER BASELINE","OK")))</x:f>
      </x:c>
      <x:c r="L5" s="11"/>
    </x:row>
    <x:row r="6">
      <x:c r="A6" s="11"/>
      <x:c r="B6" s="11"/>
      <x:c r="C6" s="11"/>
      <x:c r="D6" s="16"/>
      <x:c r="E6" s="18"/>
      <x:c r="F6" s="18" t="str">
        <x:f>IF(OR(D6="",E6=""),"",D6*E6)</x:f>
      </x:c>
      <x:c r="G6" s="18" t="str">
        <x:f>IFERROR(XLOOKUP(A6,'Baseline Price List'!$A:$A,'Baseline Price List'!$E:$E),"NEW ITEM")</x:f>
        <x:v>NEW ITEM</x:v>
      </x:c>
      <x:c r="H6" s="18" t="n">
        <x:f>$O$2</x:f>
        <x:v>0</x:v>
      </x:c>
      <x:c r="I6" s="18" t="str">
        <x:f>IF(OR(E6="",G6="NEW ITEM"),"",E6-G6)</x:f>
      </x:c>
      <x:c r="J6" s="18" t="str">
        <x:f>IF(OR(I6="",D6=""),"",MAX(0,I6-H6)*D6)</x:f>
      </x:c>
      <x:c r="K6" s="11" t="str">
        <x:f>IF(A6="","",IF(G6="NEW ITEM","NEW ITEM - REVIEW",IF(E6&gt;G6+H6,"OVER BASELINE","OK")))</x:f>
      </x:c>
      <x:c r="L6" s="11"/>
    </x:row>
    <x:row r="7">
      <x:c r="A7" s="11"/>
      <x:c r="B7" s="11"/>
      <x:c r="C7" s="11"/>
      <x:c r="D7" s="16"/>
      <x:c r="E7" s="18"/>
      <x:c r="F7" s="18" t="str">
        <x:f>IF(OR(D7="",E7=""),"",D7*E7)</x:f>
      </x:c>
      <x:c r="G7" s="18" t="str">
        <x:f>IFERROR(XLOOKUP(A7,'Baseline Price List'!$A:$A,'Baseline Price List'!$E:$E),"NEW ITEM")</x:f>
        <x:v>NEW ITEM</x:v>
      </x:c>
      <x:c r="H7" s="18" t="n">
        <x:f>$O$2</x:f>
        <x:v>0</x:v>
      </x:c>
      <x:c r="I7" s="18" t="str">
        <x:f>IF(OR(E7="",G7="NEW ITEM"),"",E7-G7)</x:f>
      </x:c>
      <x:c r="J7" s="18" t="str">
        <x:f>IF(OR(I7="",D7=""),"",MAX(0,I7-H7)*D7)</x:f>
      </x:c>
      <x:c r="K7" s="11" t="str">
        <x:f>IF(A7="","",IF(G7="NEW ITEM","NEW ITEM - REVIEW",IF(E7&gt;G7+H7,"OVER BASELINE","OK")))</x:f>
      </x:c>
      <x:c r="L7" s="11"/>
    </x:row>
    <x:row r="8">
      <x:c r="A8" s="11"/>
      <x:c r="B8" s="11"/>
      <x:c r="C8" s="11"/>
      <x:c r="D8" s="16"/>
      <x:c r="E8" s="18"/>
      <x:c r="F8" s="18" t="str">
        <x:f>IF(OR(D8="",E8=""),"",D8*E8)</x:f>
      </x:c>
      <x:c r="G8" s="18" t="str">
        <x:f>IFERROR(XLOOKUP(A8,'Baseline Price List'!$A:$A,'Baseline Price List'!$E:$E),"NEW ITEM")</x:f>
        <x:v>NEW ITEM</x:v>
      </x:c>
      <x:c r="H8" s="18" t="n">
        <x:f>$O$2</x:f>
        <x:v>0</x:v>
      </x:c>
      <x:c r="I8" s="18" t="str">
        <x:f>IF(OR(E8="",G8="NEW ITEM"),"",E8-G8)</x:f>
      </x:c>
      <x:c r="J8" s="18" t="str">
        <x:f>IF(OR(I8="",D8=""),"",MAX(0,I8-H8)*D8)</x:f>
      </x:c>
      <x:c r="K8" s="11" t="str">
        <x:f>IF(A8="","",IF(G8="NEW ITEM","NEW ITEM - REVIEW",IF(E8&gt;G8+H8,"OVER BASELINE","OK")))</x:f>
      </x:c>
      <x:c r="L8" s="11"/>
    </x:row>
    <x:row r="9">
      <x:c r="A9" s="11"/>
      <x:c r="B9" s="11"/>
      <x:c r="C9" s="11"/>
      <x:c r="D9" s="16"/>
      <x:c r="E9" s="18"/>
      <x:c r="F9" s="18" t="str">
        <x:f>IF(OR(D9="",E9=""),"",D9*E9)</x:f>
      </x:c>
      <x:c r="G9" s="18" t="str">
        <x:f>IFERROR(XLOOKUP(A9,'Baseline Price List'!$A:$A,'Baseline Price List'!$E:$E),"NEW ITEM")</x:f>
        <x:v>NEW ITEM</x:v>
      </x:c>
      <x:c r="H9" s="18" t="n">
        <x:f>$O$2</x:f>
        <x:v>0</x:v>
      </x:c>
      <x:c r="I9" s="18" t="str">
        <x:f>IF(OR(E9="",G9="NEW ITEM"),"",E9-G9)</x:f>
      </x:c>
      <x:c r="J9" s="18" t="str">
        <x:f>IF(OR(I9="",D9=""),"",MAX(0,I9-H9)*D9)</x:f>
      </x:c>
      <x:c r="K9" s="11" t="str">
        <x:f>IF(A9="","",IF(G9="NEW ITEM","NEW ITEM - REVIEW",IF(E9&gt;G9+H9,"OVER BASELINE","OK")))</x:f>
      </x:c>
      <x:c r="L9" s="11"/>
    </x:row>
    <x:row r="10">
      <x:c r="A10" s="11"/>
      <x:c r="B10" s="11"/>
      <x:c r="C10" s="11"/>
      <x:c r="D10" s="16"/>
      <x:c r="E10" s="18"/>
      <x:c r="F10" s="18" t="str">
        <x:f>IF(OR(D10="",E10=""),"",D10*E10)</x:f>
      </x:c>
      <x:c r="G10" s="18" t="str">
        <x:f>IFERROR(XLOOKUP(A10,'Baseline Price List'!$A:$A,'Baseline Price List'!$E:$E),"NEW ITEM")</x:f>
        <x:v>NEW ITEM</x:v>
      </x:c>
      <x:c r="H10" s="18" t="n">
        <x:f>$O$2</x:f>
        <x:v>0</x:v>
      </x:c>
      <x:c r="I10" s="18" t="str">
        <x:f>IF(OR(E10="",G10="NEW ITEM"),"",E10-G10)</x:f>
      </x:c>
      <x:c r="J10" s="18" t="str">
        <x:f>IF(OR(I10="",D10=""),"",MAX(0,I10-H10)*D10)</x:f>
      </x:c>
      <x:c r="K10" s="11" t="str">
        <x:f>IF(A10="","",IF(G10="NEW ITEM","NEW ITEM - REVIEW",IF(E10&gt;G10+H10,"OVER BASELINE","OK")))</x:f>
      </x:c>
      <x:c r="L10" s="11"/>
    </x:row>
    <x:row r="11">
      <x:c r="A11" s="11"/>
      <x:c r="B11" s="11"/>
      <x:c r="C11" s="11"/>
      <x:c r="D11" s="16"/>
      <x:c r="E11" s="18"/>
      <x:c r="F11" s="18" t="str">
        <x:f>IF(OR(D11="",E11=""),"",D11*E11)</x:f>
      </x:c>
      <x:c r="G11" s="18" t="str">
        <x:f>IFERROR(XLOOKUP(A11,'Baseline Price List'!$A:$A,'Baseline Price List'!$E:$E),"NEW ITEM")</x:f>
        <x:v>NEW ITEM</x:v>
      </x:c>
      <x:c r="H11" s="18" t="n">
        <x:f>$O$2</x:f>
        <x:v>0</x:v>
      </x:c>
      <x:c r="I11" s="18" t="str">
        <x:f>IF(OR(E11="",G11="NEW ITEM"),"",E11-G11)</x:f>
      </x:c>
      <x:c r="J11" s="18" t="str">
        <x:f>IF(OR(I11="",D11=""),"",MAX(0,I11-H11)*D11)</x:f>
      </x:c>
      <x:c r="K11" s="11" t="str">
        <x:f>IF(A11="","",IF(G11="NEW ITEM","NEW ITEM - REVIEW",IF(E11&gt;G11+H11,"OVER BASELINE","OK")))</x:f>
      </x:c>
      <x:c r="L11" s="11"/>
    </x:row>
    <x:row r="12">
      <x:c r="A12" s="11"/>
      <x:c r="B12" s="11"/>
      <x:c r="C12" s="11"/>
      <x:c r="D12" s="16"/>
      <x:c r="E12" s="18"/>
      <x:c r="F12" s="18" t="str">
        <x:f>IF(OR(D12="",E12=""),"",D12*E12)</x:f>
      </x:c>
      <x:c r="G12" s="18" t="str">
        <x:f>IFERROR(XLOOKUP(A12,'Baseline Price List'!$A:$A,'Baseline Price List'!$E:$E),"NEW ITEM")</x:f>
        <x:v>NEW ITEM</x:v>
      </x:c>
      <x:c r="H12" s="18" t="n">
        <x:f>$O$2</x:f>
        <x:v>0</x:v>
      </x:c>
      <x:c r="I12" s="18" t="str">
        <x:f>IF(OR(E12="",G12="NEW ITEM"),"",E12-G12)</x:f>
      </x:c>
      <x:c r="J12" s="18" t="str">
        <x:f>IF(OR(I12="",D12=""),"",MAX(0,I12-H12)*D12)</x:f>
      </x:c>
      <x:c r="K12" s="11" t="str">
        <x:f>IF(A12="","",IF(G12="NEW ITEM","NEW ITEM - REVIEW",IF(E12&gt;G12+H12,"OVER BASELINE","OK")))</x:f>
      </x:c>
      <x:c r="L12" s="11"/>
    </x:row>
    <x:row r="13">
      <x:c r="A13" s="11"/>
      <x:c r="B13" s="11"/>
      <x:c r="C13" s="11"/>
      <x:c r="D13" s="16"/>
      <x:c r="E13" s="18"/>
      <x:c r="F13" s="18" t="str">
        <x:f>IF(OR(D13="",E13=""),"",D13*E13)</x:f>
      </x:c>
      <x:c r="G13" s="18" t="str">
        <x:f>IFERROR(XLOOKUP(A13,'Baseline Price List'!$A:$A,'Baseline Price List'!$E:$E),"NEW ITEM")</x:f>
        <x:v>NEW ITEM</x:v>
      </x:c>
      <x:c r="H13" s="18" t="n">
        <x:f>$O$2</x:f>
        <x:v>0</x:v>
      </x:c>
      <x:c r="I13" s="18" t="str">
        <x:f>IF(OR(E13="",G13="NEW ITEM"),"",E13-G13)</x:f>
      </x:c>
      <x:c r="J13" s="18" t="str">
        <x:f>IF(OR(I13="",D13=""),"",MAX(0,I13-H13)*D13)</x:f>
      </x:c>
      <x:c r="K13" s="11" t="str">
        <x:f>IF(A13="","",IF(G13="NEW ITEM","NEW ITEM - REVIEW",IF(E13&gt;G13+H13,"OVER BASELINE","OK")))</x:f>
      </x:c>
      <x:c r="L13" s="11"/>
    </x:row>
    <x:row r="14">
      <x:c r="A14" s="11"/>
      <x:c r="B14" s="11"/>
      <x:c r="C14" s="11"/>
      <x:c r="D14" s="16"/>
      <x:c r="E14" s="18"/>
      <x:c r="F14" s="18" t="str">
        <x:f>IF(OR(D14="",E14=""),"",D14*E14)</x:f>
      </x:c>
      <x:c r="G14" s="18" t="str">
        <x:f>IFERROR(XLOOKUP(A14,'Baseline Price List'!$A:$A,'Baseline Price List'!$E:$E),"NEW ITEM")</x:f>
        <x:v>NEW ITEM</x:v>
      </x:c>
      <x:c r="H14" s="18" t="n">
        <x:f>$O$2</x:f>
        <x:v>0</x:v>
      </x:c>
      <x:c r="I14" s="18" t="str">
        <x:f>IF(OR(E14="",G14="NEW ITEM"),"",E14-G14)</x:f>
      </x:c>
      <x:c r="J14" s="18" t="str">
        <x:f>IF(OR(I14="",D14=""),"",MAX(0,I14-H14)*D14)</x:f>
      </x:c>
      <x:c r="K14" s="11" t="str">
        <x:f>IF(A14="","",IF(G14="NEW ITEM","NEW ITEM - REVIEW",IF(E14&gt;G14+H14,"OVER BASELINE","OK")))</x:f>
      </x:c>
      <x:c r="L14" s="11"/>
    </x:row>
    <x:row r="15">
      <x:c r="A15" s="11"/>
      <x:c r="B15" s="11"/>
      <x:c r="C15" s="11"/>
      <x:c r="D15" s="16"/>
      <x:c r="E15" s="18"/>
      <x:c r="F15" s="18" t="str">
        <x:f>IF(OR(D15="",E15=""),"",D15*E15)</x:f>
      </x:c>
      <x:c r="G15" s="18" t="str">
        <x:f>IFERROR(XLOOKUP(A15,'Baseline Price List'!$A:$A,'Baseline Price List'!$E:$E),"NEW ITEM")</x:f>
        <x:v>NEW ITEM</x:v>
      </x:c>
      <x:c r="H15" s="18" t="n">
        <x:f>$O$2</x:f>
        <x:v>0</x:v>
      </x:c>
      <x:c r="I15" s="18" t="str">
        <x:f>IF(OR(E15="",G15="NEW ITEM"),"",E15-G15)</x:f>
      </x:c>
      <x:c r="J15" s="18" t="str">
        <x:f>IF(OR(I15="",D15=""),"",MAX(0,I15-H15)*D15)</x:f>
      </x:c>
      <x:c r="K15" s="11" t="str">
        <x:f>IF(A15="","",IF(G15="NEW ITEM","NEW ITEM - REVIEW",IF(E15&gt;G15+H15,"OVER BASELINE","OK")))</x:f>
      </x:c>
      <x:c r="L15" s="11"/>
    </x:row>
    <x:row r="16">
      <x:c r="A16" s="11"/>
      <x:c r="B16" s="11"/>
      <x:c r="C16" s="11"/>
      <x:c r="D16" s="16"/>
      <x:c r="E16" s="18"/>
      <x:c r="F16" s="18" t="str">
        <x:f>IF(OR(D16="",E16=""),"",D16*E16)</x:f>
      </x:c>
      <x:c r="G16" s="18" t="str">
        <x:f>IFERROR(XLOOKUP(A16,'Baseline Price List'!$A:$A,'Baseline Price List'!$E:$E),"NEW ITEM")</x:f>
        <x:v>NEW ITEM</x:v>
      </x:c>
      <x:c r="H16" s="18" t="n">
        <x:f>$O$2</x:f>
        <x:v>0</x:v>
      </x:c>
      <x:c r="I16" s="18" t="str">
        <x:f>IF(OR(E16="",G16="NEW ITEM"),"",E16-G16)</x:f>
      </x:c>
      <x:c r="J16" s="18" t="str">
        <x:f>IF(OR(I16="",D16=""),"",MAX(0,I16-H16)*D16)</x:f>
      </x:c>
      <x:c r="K16" s="11" t="str">
        <x:f>IF(A16="","",IF(G16="NEW ITEM","NEW ITEM - REVIEW",IF(E16&gt;G16+H16,"OVER BASELINE","OK")))</x:f>
      </x:c>
      <x:c r="L16" s="11"/>
    </x:row>
    <x:row r="17">
      <x:c r="A17" s="11"/>
      <x:c r="B17" s="11"/>
      <x:c r="C17" s="11"/>
      <x:c r="D17" s="16"/>
      <x:c r="E17" s="18"/>
      <x:c r="F17" s="18" t="str">
        <x:f>IF(OR(D17="",E17=""),"",D17*E17)</x:f>
      </x:c>
      <x:c r="G17" s="18" t="str">
        <x:f>IFERROR(XLOOKUP(A17,'Baseline Price List'!$A:$A,'Baseline Price List'!$E:$E),"NEW ITEM")</x:f>
        <x:v>NEW ITEM</x:v>
      </x:c>
      <x:c r="H17" s="18" t="n">
        <x:f>$O$2</x:f>
        <x:v>0</x:v>
      </x:c>
      <x:c r="I17" s="18" t="str">
        <x:f>IF(OR(E17="",G17="NEW ITEM"),"",E17-G17)</x:f>
      </x:c>
      <x:c r="J17" s="18" t="str">
        <x:f>IF(OR(I17="",D17=""),"",MAX(0,I17-H17)*D17)</x:f>
      </x:c>
      <x:c r="K17" s="11" t="str">
        <x:f>IF(A17="","",IF(G17="NEW ITEM","NEW ITEM - REVIEW",IF(E17&gt;G17+H17,"OVER BASELINE","OK")))</x:f>
      </x:c>
      <x:c r="L17" s="11"/>
    </x:row>
    <x:row r="18">
      <x:c r="A18" s="11"/>
      <x:c r="B18" s="11"/>
      <x:c r="C18" s="11"/>
      <x:c r="D18" s="16"/>
      <x:c r="E18" s="18"/>
      <x:c r="F18" s="18" t="str">
        <x:f>IF(OR(D18="",E18=""),"",D18*E18)</x:f>
      </x:c>
      <x:c r="G18" s="18" t="str">
        <x:f>IFERROR(XLOOKUP(A18,'Baseline Price List'!$A:$A,'Baseline Price List'!$E:$E),"NEW ITEM")</x:f>
        <x:v>NEW ITEM</x:v>
      </x:c>
      <x:c r="H18" s="18" t="n">
        <x:f>$O$2</x:f>
        <x:v>0</x:v>
      </x:c>
      <x:c r="I18" s="18" t="str">
        <x:f>IF(OR(E18="",G18="NEW ITEM"),"",E18-G18)</x:f>
      </x:c>
      <x:c r="J18" s="18" t="str">
        <x:f>IF(OR(I18="",D18=""),"",MAX(0,I18-H18)*D18)</x:f>
      </x:c>
      <x:c r="K18" s="11" t="str">
        <x:f>IF(A18="","",IF(G18="NEW ITEM","NEW ITEM - REVIEW",IF(E18&gt;G18+H18,"OVER BASELINE","OK")))</x:f>
      </x:c>
      <x:c r="L18" s="11"/>
    </x:row>
    <x:row r="19">
      <x:c r="A19" s="11"/>
      <x:c r="B19" s="11"/>
      <x:c r="C19" s="11"/>
      <x:c r="D19" s="16"/>
      <x:c r="E19" s="18"/>
      <x:c r="F19" s="18" t="str">
        <x:f>IF(OR(D19="",E19=""),"",D19*E19)</x:f>
      </x:c>
      <x:c r="G19" s="18" t="str">
        <x:f>IFERROR(XLOOKUP(A19,'Baseline Price List'!$A:$A,'Baseline Price List'!$E:$E),"NEW ITEM")</x:f>
        <x:v>NEW ITEM</x:v>
      </x:c>
      <x:c r="H19" s="18" t="n">
        <x:f>$O$2</x:f>
        <x:v>0</x:v>
      </x:c>
      <x:c r="I19" s="18" t="str">
        <x:f>IF(OR(E19="",G19="NEW ITEM"),"",E19-G19)</x:f>
      </x:c>
      <x:c r="J19" s="18" t="str">
        <x:f>IF(OR(I19="",D19=""),"",MAX(0,I19-H19)*D19)</x:f>
      </x:c>
      <x:c r="K19" s="11" t="str">
        <x:f>IF(A19="","",IF(G19="NEW ITEM","NEW ITEM - REVIEW",IF(E19&gt;G19+H19,"OVER BASELINE","OK")))</x:f>
      </x:c>
      <x:c r="L19" s="11"/>
    </x:row>
    <x:row r="20">
      <x:c r="A20" s="11"/>
      <x:c r="B20" s="11"/>
      <x:c r="C20" s="11"/>
      <x:c r="D20" s="16"/>
      <x:c r="E20" s="18"/>
      <x:c r="F20" s="18" t="str">
        <x:f>IF(OR(D20="",E20=""),"",D20*E20)</x:f>
      </x:c>
      <x:c r="G20" s="18" t="str">
        <x:f>IFERROR(XLOOKUP(A20,'Baseline Price List'!$A:$A,'Baseline Price List'!$E:$E),"NEW ITEM")</x:f>
        <x:v>NEW ITEM</x:v>
      </x:c>
      <x:c r="H20" s="18" t="n">
        <x:f>$O$2</x:f>
        <x:v>0</x:v>
      </x:c>
      <x:c r="I20" s="18" t="str">
        <x:f>IF(OR(E20="",G20="NEW ITEM"),"",E20-G20)</x:f>
      </x:c>
      <x:c r="J20" s="18" t="str">
        <x:f>IF(OR(I20="",D20=""),"",MAX(0,I20-H20)*D20)</x:f>
      </x:c>
      <x:c r="K20" s="11" t="str">
        <x:f>IF(A20="","",IF(G20="NEW ITEM","NEW ITEM - REVIEW",IF(E20&gt;G20+H20,"OVER BASELINE","OK")))</x:f>
      </x:c>
      <x:c r="L20" s="11"/>
    </x:row>
    <x:row r="21">
      <x:c r="A21" s="11"/>
      <x:c r="B21" s="11"/>
      <x:c r="C21" s="11"/>
      <x:c r="D21" s="16"/>
      <x:c r="E21" s="18"/>
      <x:c r="F21" s="18" t="str">
        <x:f>IF(OR(D21="",E21=""),"",D21*E21)</x:f>
      </x:c>
      <x:c r="G21" s="18" t="str">
        <x:f>IFERROR(XLOOKUP(A21,'Baseline Price List'!$A:$A,'Baseline Price List'!$E:$E),"NEW ITEM")</x:f>
        <x:v>NEW ITEM</x:v>
      </x:c>
      <x:c r="H21" s="18" t="n">
        <x:f>$O$2</x:f>
        <x:v>0</x:v>
      </x:c>
      <x:c r="I21" s="18" t="str">
        <x:f>IF(OR(E21="",G21="NEW ITEM"),"",E21-G21)</x:f>
      </x:c>
      <x:c r="J21" s="18" t="str">
        <x:f>IF(OR(I21="",D21=""),"",MAX(0,I21-H21)*D21)</x:f>
      </x:c>
      <x:c r="K21" s="11" t="str">
        <x:f>IF(A21="","",IF(G21="NEW ITEM","NEW ITEM - REVIEW",IF(E21&gt;G21+H21,"OVER BASELINE","OK")))</x:f>
      </x:c>
      <x:c r="L21" s="11"/>
    </x:row>
    <x:row r="22">
      <x:c r="A22" s="11"/>
      <x:c r="B22" s="11"/>
      <x:c r="C22" s="11"/>
      <x:c r="D22" s="16"/>
      <x:c r="E22" s="18"/>
      <x:c r="F22" s="18" t="str">
        <x:f>IF(OR(D22="",E22=""),"",D22*E22)</x:f>
      </x:c>
      <x:c r="G22" s="18" t="str">
        <x:f>IFERROR(XLOOKUP(A22,'Baseline Price List'!$A:$A,'Baseline Price List'!$E:$E),"NEW ITEM")</x:f>
        <x:v>NEW ITEM</x:v>
      </x:c>
      <x:c r="H22" s="18" t="n">
        <x:f>$O$2</x:f>
        <x:v>0</x:v>
      </x:c>
      <x:c r="I22" s="18" t="str">
        <x:f>IF(OR(E22="",G22="NEW ITEM"),"",E22-G22)</x:f>
      </x:c>
      <x:c r="J22" s="18" t="str">
        <x:f>IF(OR(I22="",D22=""),"",MAX(0,I22-H22)*D22)</x:f>
      </x:c>
      <x:c r="K22" s="11" t="str">
        <x:f>IF(A22="","",IF(G22="NEW ITEM","NEW ITEM - REVIEW",IF(E22&gt;G22+H22,"OVER BASELINE","OK")))</x:f>
      </x:c>
      <x:c r="L22" s="11"/>
    </x:row>
    <x:row r="23">
      <x:c r="A23" s="11"/>
      <x:c r="B23" s="11"/>
      <x:c r="C23" s="11"/>
      <x:c r="D23" s="16"/>
      <x:c r="E23" s="18"/>
      <x:c r="F23" s="18" t="str">
        <x:f>IF(OR(D23="",E23=""),"",D23*E23)</x:f>
      </x:c>
      <x:c r="G23" s="18" t="str">
        <x:f>IFERROR(XLOOKUP(A23,'Baseline Price List'!$A:$A,'Baseline Price List'!$E:$E),"NEW ITEM")</x:f>
        <x:v>NEW ITEM</x:v>
      </x:c>
      <x:c r="H23" s="18" t="n">
        <x:f>$O$2</x:f>
        <x:v>0</x:v>
      </x:c>
      <x:c r="I23" s="18" t="str">
        <x:f>IF(OR(E23="",G23="NEW ITEM"),"",E23-G23)</x:f>
      </x:c>
      <x:c r="J23" s="18" t="str">
        <x:f>IF(OR(I23="",D23=""),"",MAX(0,I23-H23)*D23)</x:f>
      </x:c>
      <x:c r="K23" s="11" t="str">
        <x:f>IF(A23="","",IF(G23="NEW ITEM","NEW ITEM - REVIEW",IF(E23&gt;G23+H23,"OVER BASELINE","OK")))</x:f>
      </x:c>
      <x:c r="L23" s="11"/>
    </x:row>
    <x:row r="24">
      <x:c r="A24" s="11"/>
      <x:c r="B24" s="11"/>
      <x:c r="C24" s="11"/>
      <x:c r="D24" s="16"/>
      <x:c r="E24" s="18"/>
      <x:c r="F24" s="18" t="str">
        <x:f>IF(OR(D24="",E24=""),"",D24*E24)</x:f>
      </x:c>
      <x:c r="G24" s="18" t="str">
        <x:f>IFERROR(XLOOKUP(A24,'Baseline Price List'!$A:$A,'Baseline Price List'!$E:$E),"NEW ITEM")</x:f>
        <x:v>NEW ITEM</x:v>
      </x:c>
      <x:c r="H24" s="18" t="n">
        <x:f>$O$2</x:f>
        <x:v>0</x:v>
      </x:c>
      <x:c r="I24" s="18" t="str">
        <x:f>IF(OR(E24="",G24="NEW ITEM"),"",E24-G24)</x:f>
      </x:c>
      <x:c r="J24" s="18" t="str">
        <x:f>IF(OR(I24="",D24=""),"",MAX(0,I24-H24)*D24)</x:f>
      </x:c>
      <x:c r="K24" s="11" t="str">
        <x:f>IF(A24="","",IF(G24="NEW ITEM","NEW ITEM - REVIEW",IF(E24&gt;G24+H24,"OVER BASELINE","OK")))</x:f>
      </x:c>
      <x:c r="L24" s="11"/>
    </x:row>
    <x:row r="25">
      <x:c r="A25" s="11"/>
      <x:c r="B25" s="11"/>
      <x:c r="C25" s="11"/>
      <x:c r="D25" s="16"/>
      <x:c r="E25" s="18"/>
      <x:c r="F25" s="18" t="str">
        <x:f>IF(OR(D25="",E25=""),"",D25*E25)</x:f>
      </x:c>
      <x:c r="G25" s="18" t="str">
        <x:f>IFERROR(XLOOKUP(A25,'Baseline Price List'!$A:$A,'Baseline Price List'!$E:$E),"NEW ITEM")</x:f>
        <x:v>NEW ITEM</x:v>
      </x:c>
      <x:c r="H25" s="18" t="n">
        <x:f>$O$2</x:f>
        <x:v>0</x:v>
      </x:c>
      <x:c r="I25" s="18" t="str">
        <x:f>IF(OR(E25="",G25="NEW ITEM"),"",E25-G25)</x:f>
      </x:c>
      <x:c r="J25" s="18" t="str">
        <x:f>IF(OR(I25="",D25=""),"",MAX(0,I25-H25)*D25)</x:f>
      </x:c>
      <x:c r="K25" s="11" t="str">
        <x:f>IF(A25="","",IF(G25="NEW ITEM","NEW ITEM - REVIEW",IF(E25&gt;G25+H25,"OVER BASELINE","OK")))</x:f>
      </x:c>
      <x:c r="L25" s="11"/>
    </x:row>
    <x:row r="26">
      <x:c r="A26" s="11"/>
      <x:c r="B26" s="11"/>
      <x:c r="C26" s="11"/>
      <x:c r="D26" s="16"/>
      <x:c r="E26" s="18"/>
      <x:c r="F26" s="18" t="str">
        <x:f>IF(OR(D26="",E26=""),"",D26*E26)</x:f>
      </x:c>
      <x:c r="G26" s="18" t="str">
        <x:f>IFERROR(XLOOKUP(A26,'Baseline Price List'!$A:$A,'Baseline Price List'!$E:$E),"NEW ITEM")</x:f>
        <x:v>NEW ITEM</x:v>
      </x:c>
      <x:c r="H26" s="18" t="n">
        <x:f>$O$2</x:f>
        <x:v>0</x:v>
      </x:c>
      <x:c r="I26" s="18" t="str">
        <x:f>IF(OR(E26="",G26="NEW ITEM"),"",E26-G26)</x:f>
      </x:c>
      <x:c r="J26" s="18" t="str">
        <x:f>IF(OR(I26="",D26=""),"",MAX(0,I26-H26)*D26)</x:f>
      </x:c>
      <x:c r="K26" s="11" t="str">
        <x:f>IF(A26="","",IF(G26="NEW ITEM","NEW ITEM - REVIEW",IF(E26&gt;G26+H26,"OVER BASELINE","OK")))</x:f>
      </x:c>
      <x:c r="L26" s="11"/>
    </x:row>
    <x:row r="27">
      <x:c r="A27" s="11"/>
      <x:c r="B27" s="11"/>
      <x:c r="C27" s="11"/>
      <x:c r="D27" s="16"/>
      <x:c r="E27" s="18"/>
      <x:c r="F27" s="18" t="str">
        <x:f>IF(OR(D27="",E27=""),"",D27*E27)</x:f>
      </x:c>
      <x:c r="G27" s="18" t="str">
        <x:f>IFERROR(XLOOKUP(A27,'Baseline Price List'!$A:$A,'Baseline Price List'!$E:$E),"NEW ITEM")</x:f>
        <x:v>NEW ITEM</x:v>
      </x:c>
      <x:c r="H27" s="18" t="n">
        <x:f>$O$2</x:f>
        <x:v>0</x:v>
      </x:c>
      <x:c r="I27" s="18" t="str">
        <x:f>IF(OR(E27="",G27="NEW ITEM"),"",E27-G27)</x:f>
      </x:c>
      <x:c r="J27" s="18" t="str">
        <x:f>IF(OR(I27="",D27=""),"",MAX(0,I27-H27)*D27)</x:f>
      </x:c>
      <x:c r="K27" s="11" t="str">
        <x:f>IF(A27="","",IF(G27="NEW ITEM","NEW ITEM - REVIEW",IF(E27&gt;G27+H27,"OVER BASELINE","OK")))</x:f>
      </x:c>
      <x:c r="L27" s="11"/>
    </x:row>
    <x:row r="28">
      <x:c r="A28" s="11"/>
      <x:c r="B28" s="11"/>
      <x:c r="C28" s="11"/>
      <x:c r="D28" s="16"/>
      <x:c r="E28" s="18"/>
      <x:c r="F28" s="18" t="str">
        <x:f>IF(OR(D28="",E28=""),"",D28*E28)</x:f>
      </x:c>
      <x:c r="G28" s="18" t="str">
        <x:f>IFERROR(XLOOKUP(A28,'Baseline Price List'!$A:$A,'Baseline Price List'!$E:$E),"NEW ITEM")</x:f>
        <x:v>NEW ITEM</x:v>
      </x:c>
      <x:c r="H28" s="18" t="n">
        <x:f>$O$2</x:f>
        <x:v>0</x:v>
      </x:c>
      <x:c r="I28" s="18" t="str">
        <x:f>IF(OR(E28="",G28="NEW ITEM"),"",E28-G28)</x:f>
      </x:c>
      <x:c r="J28" s="18" t="str">
        <x:f>IF(OR(I28="",D28=""),"",MAX(0,I28-H28)*D28)</x:f>
      </x:c>
      <x:c r="K28" s="11" t="str">
        <x:f>IF(A28="","",IF(G28="NEW ITEM","NEW ITEM - REVIEW",IF(E28&gt;G28+H28,"OVER BASELINE","OK")))</x:f>
      </x:c>
      <x:c r="L28" s="11"/>
    </x:row>
    <x:row r="29">
      <x:c r="A29" s="11"/>
      <x:c r="B29" s="11"/>
      <x:c r="C29" s="11"/>
      <x:c r="D29" s="16"/>
      <x:c r="E29" s="18"/>
      <x:c r="F29" s="18" t="str">
        <x:f>IF(OR(D29="",E29=""),"",D29*E29)</x:f>
      </x:c>
      <x:c r="G29" s="18" t="str">
        <x:f>IFERROR(XLOOKUP(A29,'Baseline Price List'!$A:$A,'Baseline Price List'!$E:$E),"NEW ITEM")</x:f>
        <x:v>NEW ITEM</x:v>
      </x:c>
      <x:c r="H29" s="18" t="n">
        <x:f>$O$2</x:f>
        <x:v>0</x:v>
      </x:c>
      <x:c r="I29" s="18" t="str">
        <x:f>IF(OR(E29="",G29="NEW ITEM"),"",E29-G29)</x:f>
      </x:c>
      <x:c r="J29" s="18" t="str">
        <x:f>IF(OR(I29="",D29=""),"",MAX(0,I29-H29)*D29)</x:f>
      </x:c>
      <x:c r="K29" s="11" t="str">
        <x:f>IF(A29="","",IF(G29="NEW ITEM","NEW ITEM - REVIEW",IF(E29&gt;G29+H29,"OVER BASELINE","OK")))</x:f>
      </x:c>
      <x:c r="L29" s="11"/>
    </x:row>
    <x:row r="30">
      <x:c r="A30" s="11"/>
      <x:c r="B30" s="11"/>
      <x:c r="C30" s="11"/>
      <x:c r="D30" s="16"/>
      <x:c r="E30" s="18"/>
      <x:c r="F30" s="18" t="str">
        <x:f>IF(OR(D30="",E30=""),"",D30*E30)</x:f>
      </x:c>
      <x:c r="G30" s="18" t="str">
        <x:f>IFERROR(XLOOKUP(A30,'Baseline Price List'!$A:$A,'Baseline Price List'!$E:$E),"NEW ITEM")</x:f>
        <x:v>NEW ITEM</x:v>
      </x:c>
      <x:c r="H30" s="18" t="n">
        <x:f>$O$2</x:f>
        <x:v>0</x:v>
      </x:c>
      <x:c r="I30" s="18" t="str">
        <x:f>IF(OR(E30="",G30="NEW ITEM"),"",E30-G30)</x:f>
      </x:c>
      <x:c r="J30" s="18" t="str">
        <x:f>IF(OR(I30="",D30=""),"",MAX(0,I30-H30)*D30)</x:f>
      </x:c>
      <x:c r="K30" s="11" t="str">
        <x:f>IF(A30="","",IF(G30="NEW ITEM","NEW ITEM - REVIEW",IF(E30&gt;G30+H30,"OVER BASELINE","OK")))</x:f>
      </x:c>
      <x:c r="L30" s="11"/>
    </x:row>
    <x:row r="31">
      <x:c r="A31" s="11"/>
      <x:c r="B31" s="11"/>
      <x:c r="C31" s="11"/>
      <x:c r="D31" s="16"/>
      <x:c r="E31" s="18"/>
      <x:c r="F31" s="18" t="str">
        <x:f>IF(OR(D31="",E31=""),"",D31*E31)</x:f>
      </x:c>
      <x:c r="G31" s="18" t="str">
        <x:f>IFERROR(XLOOKUP(A31,'Baseline Price List'!$A:$A,'Baseline Price List'!$E:$E),"NEW ITEM")</x:f>
        <x:v>NEW ITEM</x:v>
      </x:c>
      <x:c r="H31" s="18" t="n">
        <x:f>$O$2</x:f>
        <x:v>0</x:v>
      </x:c>
      <x:c r="I31" s="18" t="str">
        <x:f>IF(OR(E31="",G31="NEW ITEM"),"",E31-G31)</x:f>
      </x:c>
      <x:c r="J31" s="18" t="str">
        <x:f>IF(OR(I31="",D31=""),"",MAX(0,I31-H31)*D31)</x:f>
      </x:c>
      <x:c r="K31" s="11" t="str">
        <x:f>IF(A31="","",IF(G31="NEW ITEM","NEW ITEM - REVIEW",IF(E31&gt;G31+H31,"OVER BASELINE","OK")))</x:f>
      </x:c>
      <x:c r="L31" s="11"/>
    </x:row>
    <x:row r="32">
      <x:c r="A32" s="11"/>
      <x:c r="B32" s="11"/>
      <x:c r="C32" s="11"/>
      <x:c r="D32" s="16"/>
      <x:c r="E32" s="18"/>
      <x:c r="F32" s="18" t="str">
        <x:f>IF(OR(D32="",E32=""),"",D32*E32)</x:f>
      </x:c>
      <x:c r="G32" s="18" t="str">
        <x:f>IFERROR(XLOOKUP(A32,'Baseline Price List'!$A:$A,'Baseline Price List'!$E:$E),"NEW ITEM")</x:f>
        <x:v>NEW ITEM</x:v>
      </x:c>
      <x:c r="H32" s="18" t="n">
        <x:f>$O$2</x:f>
        <x:v>0</x:v>
      </x:c>
      <x:c r="I32" s="18" t="str">
        <x:f>IF(OR(E32="",G32="NEW ITEM"),"",E32-G32)</x:f>
      </x:c>
      <x:c r="J32" s="18" t="str">
        <x:f>IF(OR(I32="",D32=""),"",MAX(0,I32-H32)*D32)</x:f>
      </x:c>
      <x:c r="K32" s="11" t="str">
        <x:f>IF(A32="","",IF(G32="NEW ITEM","NEW ITEM - REVIEW",IF(E32&gt;G32+H32,"OVER BASELINE","OK")))</x:f>
      </x:c>
      <x:c r="L32" s="11"/>
    </x:row>
    <x:row r="33">
      <x:c r="A33" s="11"/>
      <x:c r="B33" s="11"/>
      <x:c r="C33" s="11"/>
      <x:c r="D33" s="16"/>
      <x:c r="E33" s="18"/>
      <x:c r="F33" s="18" t="str">
        <x:f>IF(OR(D33="",E33=""),"",D33*E33)</x:f>
      </x:c>
      <x:c r="G33" s="18" t="str">
        <x:f>IFERROR(XLOOKUP(A33,'Baseline Price List'!$A:$A,'Baseline Price List'!$E:$E),"NEW ITEM")</x:f>
        <x:v>NEW ITEM</x:v>
      </x:c>
      <x:c r="H33" s="18" t="n">
        <x:f>$O$2</x:f>
        <x:v>0</x:v>
      </x:c>
      <x:c r="I33" s="18" t="str">
        <x:f>IF(OR(E33="",G33="NEW ITEM"),"",E33-G33)</x:f>
      </x:c>
      <x:c r="J33" s="18" t="str">
        <x:f>IF(OR(I33="",D33=""),"",MAX(0,I33-H33)*D33)</x:f>
      </x:c>
      <x:c r="K33" s="11" t="str">
        <x:f>IF(A33="","",IF(G33="NEW ITEM","NEW ITEM - REVIEW",IF(E33&gt;G33+H33,"OVER BASELINE","OK")))</x:f>
      </x:c>
      <x:c r="L33" s="11"/>
    </x:row>
    <x:row r="34">
      <x:c r="A34" s="11"/>
      <x:c r="B34" s="11"/>
      <x:c r="C34" s="11"/>
      <x:c r="D34" s="16"/>
      <x:c r="E34" s="18"/>
      <x:c r="F34" s="18" t="str">
        <x:f>IF(OR(D34="",E34=""),"",D34*E34)</x:f>
      </x:c>
      <x:c r="G34" s="18" t="str">
        <x:f>IFERROR(XLOOKUP(A34,'Baseline Price List'!$A:$A,'Baseline Price List'!$E:$E),"NEW ITEM")</x:f>
        <x:v>NEW ITEM</x:v>
      </x:c>
      <x:c r="H34" s="18" t="n">
        <x:f>$O$2</x:f>
        <x:v>0</x:v>
      </x:c>
      <x:c r="I34" s="18" t="str">
        <x:f>IF(OR(E34="",G34="NEW ITEM"),"",E34-G34)</x:f>
      </x:c>
      <x:c r="J34" s="18" t="str">
        <x:f>IF(OR(I34="",D34=""),"",MAX(0,I34-H34)*D34)</x:f>
      </x:c>
      <x:c r="K34" s="11" t="str">
        <x:f>IF(A34="","",IF(G34="NEW ITEM","NEW ITEM - REVIEW",IF(E34&gt;G34+H34,"OVER BASELINE","OK")))</x:f>
      </x:c>
      <x:c r="L34" s="11"/>
    </x:row>
    <x:row r="35">
      <x:c r="A35" s="11"/>
      <x:c r="B35" s="11"/>
      <x:c r="C35" s="11"/>
      <x:c r="D35" s="16"/>
      <x:c r="E35" s="18"/>
      <x:c r="F35" s="18" t="str">
        <x:f>IF(OR(D35="",E35=""),"",D35*E35)</x:f>
      </x:c>
      <x:c r="G35" s="18" t="str">
        <x:f>IFERROR(XLOOKUP(A35,'Baseline Price List'!$A:$A,'Baseline Price List'!$E:$E),"NEW ITEM")</x:f>
        <x:v>NEW ITEM</x:v>
      </x:c>
      <x:c r="H35" s="18" t="n">
        <x:f>$O$2</x:f>
        <x:v>0</x:v>
      </x:c>
      <x:c r="I35" s="18" t="str">
        <x:f>IF(OR(E35="",G35="NEW ITEM"),"",E35-G35)</x:f>
      </x:c>
      <x:c r="J35" s="18" t="str">
        <x:f>IF(OR(I35="",D35=""),"",MAX(0,I35-H35)*D35)</x:f>
      </x:c>
      <x:c r="K35" s="11" t="str">
        <x:f>IF(A35="","",IF(G35="NEW ITEM","NEW ITEM - REVIEW",IF(E35&gt;G35+H35,"OVER BASELINE","OK")))</x:f>
      </x:c>
      <x:c r="L35" s="11"/>
    </x:row>
    <x:row r="36">
      <x:c r="A36" s="11"/>
      <x:c r="B36" s="11"/>
      <x:c r="C36" s="11"/>
      <x:c r="D36" s="16"/>
      <x:c r="E36" s="18"/>
      <x:c r="F36" s="18" t="str">
        <x:f>IF(OR(D36="",E36=""),"",D36*E36)</x:f>
      </x:c>
      <x:c r="G36" s="18" t="str">
        <x:f>IFERROR(XLOOKUP(A36,'Baseline Price List'!$A:$A,'Baseline Price List'!$E:$E),"NEW ITEM")</x:f>
        <x:v>NEW ITEM</x:v>
      </x:c>
      <x:c r="H36" s="18" t="n">
        <x:f>$O$2</x:f>
        <x:v>0</x:v>
      </x:c>
      <x:c r="I36" s="18" t="str">
        <x:f>IF(OR(E36="",G36="NEW ITEM"),"",E36-G36)</x:f>
      </x:c>
      <x:c r="J36" s="18" t="str">
        <x:f>IF(OR(I36="",D36=""),"",MAX(0,I36-H36)*D36)</x:f>
      </x:c>
      <x:c r="K36" s="11" t="str">
        <x:f>IF(A36="","",IF(G36="NEW ITEM","NEW ITEM - REVIEW",IF(E36&gt;G36+H36,"OVER BASELINE","OK")))</x:f>
      </x:c>
      <x:c r="L36" s="11"/>
    </x:row>
    <x:row r="37">
      <x:c r="A37" s="11"/>
      <x:c r="B37" s="11"/>
      <x:c r="C37" s="11"/>
      <x:c r="D37" s="16"/>
      <x:c r="E37" s="18"/>
      <x:c r="F37" s="18" t="str">
        <x:f>IF(OR(D37="",E37=""),"",D37*E37)</x:f>
      </x:c>
      <x:c r="G37" s="18" t="str">
        <x:f>IFERROR(XLOOKUP(A37,'Baseline Price List'!$A:$A,'Baseline Price List'!$E:$E),"NEW ITEM")</x:f>
        <x:v>NEW ITEM</x:v>
      </x:c>
      <x:c r="H37" s="18" t="n">
        <x:f>$O$2</x:f>
        <x:v>0</x:v>
      </x:c>
      <x:c r="I37" s="18" t="str">
        <x:f>IF(OR(E37="",G37="NEW ITEM"),"",E37-G37)</x:f>
      </x:c>
      <x:c r="J37" s="18" t="str">
        <x:f>IF(OR(I37="",D37=""),"",MAX(0,I37-H37)*D37)</x:f>
      </x:c>
      <x:c r="K37" s="11" t="str">
        <x:f>IF(A37="","",IF(G37="NEW ITEM","NEW ITEM - REVIEW",IF(E37&gt;G37+H37,"OVER BASELINE","OK")))</x:f>
      </x:c>
      <x:c r="L37" s="11"/>
    </x:row>
    <x:row r="38">
      <x:c r="A38" s="11"/>
      <x:c r="B38" s="11"/>
      <x:c r="C38" s="11"/>
      <x:c r="D38" s="16"/>
      <x:c r="E38" s="18"/>
      <x:c r="F38" s="18" t="str">
        <x:f>IF(OR(D38="",E38=""),"",D38*E38)</x:f>
      </x:c>
      <x:c r="G38" s="18" t="str">
        <x:f>IFERROR(XLOOKUP(A38,'Baseline Price List'!$A:$A,'Baseline Price List'!$E:$E),"NEW ITEM")</x:f>
        <x:v>NEW ITEM</x:v>
      </x:c>
      <x:c r="H38" s="18" t="n">
        <x:f>$O$2</x:f>
        <x:v>0</x:v>
      </x:c>
      <x:c r="I38" s="18" t="str">
        <x:f>IF(OR(E38="",G38="NEW ITEM"),"",E38-G38)</x:f>
      </x:c>
      <x:c r="J38" s="18" t="str">
        <x:f>IF(OR(I38="",D38=""),"",MAX(0,I38-H38)*D38)</x:f>
      </x:c>
      <x:c r="K38" s="11" t="str">
        <x:f>IF(A38="","",IF(G38="NEW ITEM","NEW ITEM - REVIEW",IF(E38&gt;G38+H38,"OVER BASELINE","OK")))</x:f>
      </x:c>
      <x:c r="L38" s="11"/>
    </x:row>
    <x:row r="39">
      <x:c r="A39" s="11"/>
      <x:c r="B39" s="11"/>
      <x:c r="C39" s="11"/>
      <x:c r="D39" s="16"/>
      <x:c r="E39" s="18"/>
      <x:c r="F39" s="18" t="str">
        <x:f>IF(OR(D39="",E39=""),"",D39*E39)</x:f>
      </x:c>
      <x:c r="G39" s="18" t="str">
        <x:f>IFERROR(XLOOKUP(A39,'Baseline Price List'!$A:$A,'Baseline Price List'!$E:$E),"NEW ITEM")</x:f>
        <x:v>NEW ITEM</x:v>
      </x:c>
      <x:c r="H39" s="18" t="n">
        <x:f>$O$2</x:f>
        <x:v>0</x:v>
      </x:c>
      <x:c r="I39" s="18" t="str">
        <x:f>IF(OR(E39="",G39="NEW ITEM"),"",E39-G39)</x:f>
      </x:c>
      <x:c r="J39" s="18" t="str">
        <x:f>IF(OR(I39="",D39=""),"",MAX(0,I39-H39)*D39)</x:f>
      </x:c>
      <x:c r="K39" s="11" t="str">
        <x:f>IF(A39="","",IF(G39="NEW ITEM","NEW ITEM - REVIEW",IF(E39&gt;G39+H39,"OVER BASELINE","OK")))</x:f>
      </x:c>
      <x:c r="L39" s="11"/>
    </x:row>
    <x:row r="40">
      <x:c r="A40" s="11"/>
      <x:c r="B40" s="11"/>
      <x:c r="C40" s="11"/>
      <x:c r="D40" s="16"/>
      <x:c r="E40" s="18"/>
      <x:c r="F40" s="18" t="str">
        <x:f>IF(OR(D40="",E40=""),"",D40*E40)</x:f>
      </x:c>
      <x:c r="G40" s="18" t="str">
        <x:f>IFERROR(XLOOKUP(A40,'Baseline Price List'!$A:$A,'Baseline Price List'!$E:$E),"NEW ITEM")</x:f>
        <x:v>NEW ITEM</x:v>
      </x:c>
      <x:c r="H40" s="18" t="n">
        <x:f>$O$2</x:f>
        <x:v>0</x:v>
      </x:c>
      <x:c r="I40" s="18" t="str">
        <x:f>IF(OR(E40="",G40="NEW ITEM"),"",E40-G40)</x:f>
      </x:c>
      <x:c r="J40" s="18" t="str">
        <x:f>IF(OR(I40="",D40=""),"",MAX(0,I40-H40)*D40)</x:f>
      </x:c>
      <x:c r="K40" s="11" t="str">
        <x:f>IF(A40="","",IF(G40="NEW ITEM","NEW ITEM - REVIEW",IF(E40&gt;G40+H40,"OVER BASELINE","OK")))</x:f>
      </x:c>
      <x:c r="L40" s="11"/>
    </x:row>
    <x:row r="41">
      <x:c r="A41" s="11"/>
      <x:c r="B41" s="11"/>
      <x:c r="C41" s="11"/>
      <x:c r="D41" s="16"/>
      <x:c r="E41" s="18"/>
      <x:c r="F41" s="18" t="str">
        <x:f>IF(OR(D41="",E41=""),"",D41*E41)</x:f>
      </x:c>
      <x:c r="G41" s="18" t="str">
        <x:f>IFERROR(XLOOKUP(A41,'Baseline Price List'!$A:$A,'Baseline Price List'!$E:$E),"NEW ITEM")</x:f>
        <x:v>NEW ITEM</x:v>
      </x:c>
      <x:c r="H41" s="18" t="n">
        <x:f>$O$2</x:f>
        <x:v>0</x:v>
      </x:c>
      <x:c r="I41" s="18" t="str">
        <x:f>IF(OR(E41="",G41="NEW ITEM"),"",E41-G41)</x:f>
      </x:c>
      <x:c r="J41" s="18" t="str">
        <x:f>IF(OR(I41="",D41=""),"",MAX(0,I41-H41)*D41)</x:f>
      </x:c>
      <x:c r="K41" s="11" t="str">
        <x:f>IF(A41="","",IF(G41="NEW ITEM","NEW ITEM - REVIEW",IF(E41&gt;G41+H41,"OVER BASELINE","OK")))</x:f>
      </x:c>
      <x:c r="L41" s="11"/>
    </x:row>
    <x:row r="42">
      <x:c r="A42" s="11"/>
      <x:c r="B42" s="11"/>
      <x:c r="C42" s="11"/>
      <x:c r="D42" s="16"/>
      <x:c r="E42" s="18"/>
      <x:c r="F42" s="18" t="str">
        <x:f>IF(OR(D42="",E42=""),"",D42*E42)</x:f>
      </x:c>
      <x:c r="G42" s="18" t="str">
        <x:f>IFERROR(XLOOKUP(A42,'Baseline Price List'!$A:$A,'Baseline Price List'!$E:$E),"NEW ITEM")</x:f>
        <x:v>NEW ITEM</x:v>
      </x:c>
      <x:c r="H42" s="18" t="n">
        <x:f>$O$2</x:f>
        <x:v>0</x:v>
      </x:c>
      <x:c r="I42" s="18" t="str">
        <x:f>IF(OR(E42="",G42="NEW ITEM"),"",E42-G42)</x:f>
      </x:c>
      <x:c r="J42" s="18" t="str">
        <x:f>IF(OR(I42="",D42=""),"",MAX(0,I42-H42)*D42)</x:f>
      </x:c>
      <x:c r="K42" s="11" t="str">
        <x:f>IF(A42="","",IF(G42="NEW ITEM","NEW ITEM - REVIEW",IF(E42&gt;G42+H42,"OVER BASELINE","OK")))</x:f>
      </x:c>
      <x:c r="L42" s="11"/>
    </x:row>
    <x:row r="43">
      <x:c r="A43" s="11"/>
      <x:c r="B43" s="11"/>
      <x:c r="C43" s="11"/>
      <x:c r="D43" s="16"/>
      <x:c r="E43" s="18"/>
      <x:c r="F43" s="18" t="str">
        <x:f>IF(OR(D43="",E43=""),"",D43*E43)</x:f>
      </x:c>
      <x:c r="G43" s="18" t="str">
        <x:f>IFERROR(XLOOKUP(A43,'Baseline Price List'!$A:$A,'Baseline Price List'!$E:$E),"NEW ITEM")</x:f>
        <x:v>NEW ITEM</x:v>
      </x:c>
      <x:c r="H43" s="18" t="n">
        <x:f>$O$2</x:f>
        <x:v>0</x:v>
      </x:c>
      <x:c r="I43" s="18" t="str">
        <x:f>IF(OR(E43="",G43="NEW ITEM"),"",E43-G43)</x:f>
      </x:c>
      <x:c r="J43" s="18" t="str">
        <x:f>IF(OR(I43="",D43=""),"",MAX(0,I43-H43)*D43)</x:f>
      </x:c>
      <x:c r="K43" s="11" t="str">
        <x:f>IF(A43="","",IF(G43="NEW ITEM","NEW ITEM - REVIEW",IF(E43&gt;G43+H43,"OVER BASELINE","OK")))</x:f>
      </x:c>
      <x:c r="L43" s="11"/>
    </x:row>
    <x:row r="44">
      <x:c r="A44" s="11"/>
      <x:c r="B44" s="11"/>
      <x:c r="C44" s="11"/>
      <x:c r="D44" s="16"/>
      <x:c r="E44" s="18"/>
      <x:c r="F44" s="18" t="str">
        <x:f>IF(OR(D44="",E44=""),"",D44*E44)</x:f>
      </x:c>
      <x:c r="G44" s="18" t="str">
        <x:f>IFERROR(XLOOKUP(A44,'Baseline Price List'!$A:$A,'Baseline Price List'!$E:$E),"NEW ITEM")</x:f>
        <x:v>NEW ITEM</x:v>
      </x:c>
      <x:c r="H44" s="18" t="n">
        <x:f>$O$2</x:f>
        <x:v>0</x:v>
      </x:c>
      <x:c r="I44" s="18" t="str">
        <x:f>IF(OR(E44="",G44="NEW ITEM"),"",E44-G44)</x:f>
      </x:c>
      <x:c r="J44" s="18" t="str">
        <x:f>IF(OR(I44="",D44=""),"",MAX(0,I44-H44)*D44)</x:f>
      </x:c>
      <x:c r="K44" s="11" t="str">
        <x:f>IF(A44="","",IF(G44="NEW ITEM","NEW ITEM - REVIEW",IF(E44&gt;G44+H44,"OVER BASELINE","OK")))</x:f>
      </x:c>
      <x:c r="L44" s="11"/>
    </x:row>
    <x:row r="45">
      <x:c r="A45" s="11"/>
      <x:c r="B45" s="11"/>
      <x:c r="C45" s="11"/>
      <x:c r="D45" s="16"/>
      <x:c r="E45" s="18"/>
      <x:c r="F45" s="18" t="str">
        <x:f>IF(OR(D45="",E45=""),"",D45*E45)</x:f>
      </x:c>
      <x:c r="G45" s="18" t="str">
        <x:f>IFERROR(XLOOKUP(A45,'Baseline Price List'!$A:$A,'Baseline Price List'!$E:$E),"NEW ITEM")</x:f>
        <x:v>NEW ITEM</x:v>
      </x:c>
      <x:c r="H45" s="18" t="n">
        <x:f>$O$2</x:f>
        <x:v>0</x:v>
      </x:c>
      <x:c r="I45" s="18" t="str">
        <x:f>IF(OR(E45="",G45="NEW ITEM"),"",E45-G45)</x:f>
      </x:c>
      <x:c r="J45" s="18" t="str">
        <x:f>IF(OR(I45="",D45=""),"",MAX(0,I45-H45)*D45)</x:f>
      </x:c>
      <x:c r="K45" s="11" t="str">
        <x:f>IF(A45="","",IF(G45="NEW ITEM","NEW ITEM - REVIEW",IF(E45&gt;G45+H45,"OVER BASELINE","OK")))</x:f>
      </x:c>
      <x:c r="L45" s="11"/>
    </x:row>
    <x:row r="46">
      <x:c r="A46" s="11"/>
      <x:c r="B46" s="11"/>
      <x:c r="C46" s="11"/>
      <x:c r="D46" s="16"/>
      <x:c r="E46" s="18"/>
      <x:c r="F46" s="18" t="str">
        <x:f>IF(OR(D46="",E46=""),"",D46*E46)</x:f>
      </x:c>
      <x:c r="G46" s="18" t="str">
        <x:f>IFERROR(XLOOKUP(A46,'Baseline Price List'!$A:$A,'Baseline Price List'!$E:$E),"NEW ITEM")</x:f>
        <x:v>NEW ITEM</x:v>
      </x:c>
      <x:c r="H46" s="18" t="n">
        <x:f>$O$2</x:f>
        <x:v>0</x:v>
      </x:c>
      <x:c r="I46" s="18" t="str">
        <x:f>IF(OR(E46="",G46="NEW ITEM"),"",E46-G46)</x:f>
      </x:c>
      <x:c r="J46" s="18" t="str">
        <x:f>IF(OR(I46="",D46=""),"",MAX(0,I46-H46)*D46)</x:f>
      </x:c>
      <x:c r="K46" s="11" t="str">
        <x:f>IF(A46="","",IF(G46="NEW ITEM","NEW ITEM - REVIEW",IF(E46&gt;G46+H46,"OVER BASELINE","OK")))</x:f>
      </x:c>
      <x:c r="L46" s="11"/>
    </x:row>
    <x:row r="47">
      <x:c r="A47" s="11"/>
      <x:c r="B47" s="11"/>
      <x:c r="C47" s="11"/>
      <x:c r="D47" s="16"/>
      <x:c r="E47" s="18"/>
      <x:c r="F47" s="18" t="str">
        <x:f>IF(OR(D47="",E47=""),"",D47*E47)</x:f>
      </x:c>
      <x:c r="G47" s="18" t="str">
        <x:f>IFERROR(XLOOKUP(A47,'Baseline Price List'!$A:$A,'Baseline Price List'!$E:$E),"NEW ITEM")</x:f>
        <x:v>NEW ITEM</x:v>
      </x:c>
      <x:c r="H47" s="18" t="n">
        <x:f>$O$2</x:f>
        <x:v>0</x:v>
      </x:c>
      <x:c r="I47" s="18" t="str">
        <x:f>IF(OR(E47="",G47="NEW ITEM"),"",E47-G47)</x:f>
      </x:c>
      <x:c r="J47" s="18" t="str">
        <x:f>IF(OR(I47="",D47=""),"",MAX(0,I47-H47)*D47)</x:f>
      </x:c>
      <x:c r="K47" s="11" t="str">
        <x:f>IF(A47="","",IF(G47="NEW ITEM","NEW ITEM - REVIEW",IF(E47&gt;G47+H47,"OVER BASELINE","OK")))</x:f>
      </x:c>
      <x:c r="L47" s="11"/>
    </x:row>
    <x:row r="48">
      <x:c r="A48" s="11"/>
      <x:c r="B48" s="11"/>
      <x:c r="C48" s="11"/>
      <x:c r="D48" s="16"/>
      <x:c r="E48" s="18"/>
      <x:c r="F48" s="18" t="str">
        <x:f>IF(OR(D48="",E48=""),"",D48*E48)</x:f>
      </x:c>
      <x:c r="G48" s="18" t="str">
        <x:f>IFERROR(XLOOKUP(A48,'Baseline Price List'!$A:$A,'Baseline Price List'!$E:$E),"NEW ITEM")</x:f>
        <x:v>NEW ITEM</x:v>
      </x:c>
      <x:c r="H48" s="18" t="n">
        <x:f>$O$2</x:f>
        <x:v>0</x:v>
      </x:c>
      <x:c r="I48" s="18" t="str">
        <x:f>IF(OR(E48="",G48="NEW ITEM"),"",E48-G48)</x:f>
      </x:c>
      <x:c r="J48" s="18" t="str">
        <x:f>IF(OR(I48="",D48=""),"",MAX(0,I48-H48)*D48)</x:f>
      </x:c>
      <x:c r="K48" s="11" t="str">
        <x:f>IF(A48="","",IF(G48="NEW ITEM","NEW ITEM - REVIEW",IF(E48&gt;G48+H48,"OVER BASELINE","OK")))</x:f>
      </x:c>
      <x:c r="L48" s="11"/>
    </x:row>
    <x:row r="49">
      <x:c r="A49" s="11"/>
      <x:c r="B49" s="11"/>
      <x:c r="C49" s="11"/>
      <x:c r="D49" s="16"/>
      <x:c r="E49" s="18"/>
      <x:c r="F49" s="18" t="str">
        <x:f>IF(OR(D49="",E49=""),"",D49*E49)</x:f>
      </x:c>
      <x:c r="G49" s="18" t="str">
        <x:f>IFERROR(XLOOKUP(A49,'Baseline Price List'!$A:$A,'Baseline Price List'!$E:$E),"NEW ITEM")</x:f>
        <x:v>NEW ITEM</x:v>
      </x:c>
      <x:c r="H49" s="18" t="n">
        <x:f>$O$2</x:f>
        <x:v>0</x:v>
      </x:c>
      <x:c r="I49" s="18" t="str">
        <x:f>IF(OR(E49="",G49="NEW ITEM"),"",E49-G49)</x:f>
      </x:c>
      <x:c r="J49" s="18" t="str">
        <x:f>IF(OR(I49="",D49=""),"",MAX(0,I49-H49)*D49)</x:f>
      </x:c>
      <x:c r="K49" s="11" t="str">
        <x:f>IF(A49="","",IF(G49="NEW ITEM","NEW ITEM - REVIEW",IF(E49&gt;G49+H49,"OVER BASELINE","OK")))</x:f>
      </x:c>
      <x:c r="L49" s="11"/>
    </x:row>
    <x:row r="50">
      <x:c r="A50" s="11"/>
      <x:c r="B50" s="11"/>
      <x:c r="C50" s="11"/>
      <x:c r="D50" s="16"/>
      <x:c r="E50" s="18"/>
      <x:c r="F50" s="18" t="str">
        <x:f>IF(OR(D50="",E50=""),"",D50*E50)</x:f>
      </x:c>
      <x:c r="G50" s="18" t="str">
        <x:f>IFERROR(XLOOKUP(A50,'Baseline Price List'!$A:$A,'Baseline Price List'!$E:$E),"NEW ITEM")</x:f>
        <x:v>NEW ITEM</x:v>
      </x:c>
      <x:c r="H50" s="18" t="n">
        <x:f>$O$2</x:f>
        <x:v>0</x:v>
      </x:c>
      <x:c r="I50" s="18" t="str">
        <x:f>IF(OR(E50="",G50="NEW ITEM"),"",E50-G50)</x:f>
      </x:c>
      <x:c r="J50" s="18" t="str">
        <x:f>IF(OR(I50="",D50=""),"",MAX(0,I50-H50)*D50)</x:f>
      </x:c>
      <x:c r="K50" s="11" t="str">
        <x:f>IF(A50="","",IF(G50="NEW ITEM","NEW ITEM - REVIEW",IF(E50&gt;G50+H50,"OVER BASELINE","OK")))</x:f>
      </x:c>
      <x:c r="L50" s="11"/>
    </x:row>
    <x:row r="51">
      <x:c r="A51" s="11"/>
      <x:c r="B51" s="11"/>
      <x:c r="C51" s="11"/>
      <x:c r="D51" s="16"/>
      <x:c r="E51" s="18"/>
      <x:c r="F51" s="18" t="str">
        <x:f>IF(OR(D51="",E51=""),"",D51*E51)</x:f>
      </x:c>
      <x:c r="G51" s="18" t="str">
        <x:f>IFERROR(XLOOKUP(A51,'Baseline Price List'!$A:$A,'Baseline Price List'!$E:$E),"NEW ITEM")</x:f>
        <x:v>NEW ITEM</x:v>
      </x:c>
      <x:c r="H51" s="18" t="n">
        <x:f>$O$2</x:f>
        <x:v>0</x:v>
      </x:c>
      <x:c r="I51" s="18" t="str">
        <x:f>IF(OR(E51="",G51="NEW ITEM"),"",E51-G51)</x:f>
      </x:c>
      <x:c r="J51" s="18" t="str">
        <x:f>IF(OR(I51="",D51=""),"",MAX(0,I51-H51)*D51)</x:f>
      </x:c>
      <x:c r="K51" s="11" t="str">
        <x:f>IF(A51="","",IF(G51="NEW ITEM","NEW ITEM - REVIEW",IF(E51&gt;G51+H51,"OVER BASELINE","OK")))</x:f>
      </x:c>
      <x:c r="L51" s="11"/>
    </x:row>
    <x:row r="52">
      <x:c r="A52" s="11"/>
      <x:c r="B52" s="11"/>
      <x:c r="C52" s="11"/>
      <x:c r="D52" s="16"/>
      <x:c r="E52" s="18"/>
      <x:c r="F52" s="18" t="str">
        <x:f>IF(OR(D52="",E52=""),"",D52*E52)</x:f>
      </x:c>
      <x:c r="G52" s="18" t="str">
        <x:f>IFERROR(XLOOKUP(A52,'Baseline Price List'!$A:$A,'Baseline Price List'!$E:$E),"NEW ITEM")</x:f>
        <x:v>NEW ITEM</x:v>
      </x:c>
      <x:c r="H52" s="18" t="n">
        <x:f>$O$2</x:f>
        <x:v>0</x:v>
      </x:c>
      <x:c r="I52" s="18" t="str">
        <x:f>IF(OR(E52="",G52="NEW ITEM"),"",E52-G52)</x:f>
      </x:c>
      <x:c r="J52" s="18" t="str">
        <x:f>IF(OR(I52="",D52=""),"",MAX(0,I52-H52)*D52)</x:f>
      </x:c>
      <x:c r="K52" s="11" t="str">
        <x:f>IF(A52="","",IF(G52="NEW ITEM","NEW ITEM - REVIEW",IF(E52&gt;G52+H52,"OVER BASELINE","OK")))</x:f>
      </x:c>
      <x:c r="L52" s="11"/>
    </x:row>
    <x:row r="53">
      <x:c r="A53" s="11"/>
      <x:c r="B53" s="11"/>
      <x:c r="C53" s="11"/>
      <x:c r="D53" s="16"/>
      <x:c r="E53" s="18"/>
      <x:c r="F53" s="18" t="str">
        <x:f>IF(OR(D53="",E53=""),"",D53*E53)</x:f>
      </x:c>
      <x:c r="G53" s="18" t="str">
        <x:f>IFERROR(XLOOKUP(A53,'Baseline Price List'!$A:$A,'Baseline Price List'!$E:$E),"NEW ITEM")</x:f>
        <x:v>NEW ITEM</x:v>
      </x:c>
      <x:c r="H53" s="18" t="n">
        <x:f>$O$2</x:f>
        <x:v>0</x:v>
      </x:c>
      <x:c r="I53" s="18" t="str">
        <x:f>IF(OR(E53="",G53="NEW ITEM"),"",E53-G53)</x:f>
      </x:c>
      <x:c r="J53" s="18" t="str">
        <x:f>IF(OR(I53="",D53=""),"",MAX(0,I53-H53)*D53)</x:f>
      </x:c>
      <x:c r="K53" s="11" t="str">
        <x:f>IF(A53="","",IF(G53="NEW ITEM","NEW ITEM - REVIEW",IF(E53&gt;G53+H53,"OVER BASELINE","OK")))</x:f>
      </x:c>
      <x:c r="L53" s="11"/>
    </x:row>
    <x:row r="54">
      <x:c r="A54" s="11"/>
      <x:c r="B54" s="11"/>
      <x:c r="C54" s="11"/>
      <x:c r="D54" s="16"/>
      <x:c r="E54" s="18"/>
      <x:c r="F54" s="18" t="str">
        <x:f>IF(OR(D54="",E54=""),"",D54*E54)</x:f>
      </x:c>
      <x:c r="G54" s="18" t="str">
        <x:f>IFERROR(XLOOKUP(A54,'Baseline Price List'!$A:$A,'Baseline Price List'!$E:$E),"NEW ITEM")</x:f>
        <x:v>NEW ITEM</x:v>
      </x:c>
      <x:c r="H54" s="18" t="n">
        <x:f>$O$2</x:f>
        <x:v>0</x:v>
      </x:c>
      <x:c r="I54" s="18" t="str">
        <x:f>IF(OR(E54="",G54="NEW ITEM"),"",E54-G54)</x:f>
      </x:c>
      <x:c r="J54" s="18" t="str">
        <x:f>IF(OR(I54="",D54=""),"",MAX(0,I54-H54)*D54)</x:f>
      </x:c>
      <x:c r="K54" s="11" t="str">
        <x:f>IF(A54="","",IF(G54="NEW ITEM","NEW ITEM - REVIEW",IF(E54&gt;G54+H54,"OVER BASELINE","OK")))</x:f>
      </x:c>
      <x:c r="L54" s="11"/>
    </x:row>
    <x:row r="55">
      <x:c r="A55" s="11"/>
      <x:c r="B55" s="11"/>
      <x:c r="C55" s="11"/>
      <x:c r="D55" s="16"/>
      <x:c r="E55" s="18"/>
      <x:c r="F55" s="18" t="str">
        <x:f>IF(OR(D55="",E55=""),"",D55*E55)</x:f>
      </x:c>
      <x:c r="G55" s="18" t="str">
        <x:f>IFERROR(XLOOKUP(A55,'Baseline Price List'!$A:$A,'Baseline Price List'!$E:$E),"NEW ITEM")</x:f>
        <x:v>NEW ITEM</x:v>
      </x:c>
      <x:c r="H55" s="18" t="n">
        <x:f>$O$2</x:f>
        <x:v>0</x:v>
      </x:c>
      <x:c r="I55" s="18" t="str">
        <x:f>IF(OR(E55="",G55="NEW ITEM"),"",E55-G55)</x:f>
      </x:c>
      <x:c r="J55" s="18" t="str">
        <x:f>IF(OR(I55="",D55=""),"",MAX(0,I55-H55)*D55)</x:f>
      </x:c>
      <x:c r="K55" s="11" t="str">
        <x:f>IF(A55="","",IF(G55="NEW ITEM","NEW ITEM - REVIEW",IF(E55&gt;G55+H55,"OVER BASELINE","OK")))</x:f>
      </x:c>
      <x:c r="L55" s="11"/>
    </x:row>
    <x:row r="56">
      <x:c r="A56" s="11"/>
      <x:c r="B56" s="11"/>
      <x:c r="C56" s="11"/>
      <x:c r="D56" s="16"/>
      <x:c r="E56" s="18"/>
      <x:c r="F56" s="18" t="str">
        <x:f>IF(OR(D56="",E56=""),"",D56*E56)</x:f>
      </x:c>
      <x:c r="G56" s="18" t="str">
        <x:f>IFERROR(XLOOKUP(A56,'Baseline Price List'!$A:$A,'Baseline Price List'!$E:$E),"NEW ITEM")</x:f>
        <x:v>NEW ITEM</x:v>
      </x:c>
      <x:c r="H56" s="18" t="n">
        <x:f>$O$2</x:f>
        <x:v>0</x:v>
      </x:c>
      <x:c r="I56" s="18" t="str">
        <x:f>IF(OR(E56="",G56="NEW ITEM"),"",E56-G56)</x:f>
      </x:c>
      <x:c r="J56" s="18" t="str">
        <x:f>IF(OR(I56="",D56=""),"",MAX(0,I56-H56)*D56)</x:f>
      </x:c>
      <x:c r="K56" s="11" t="str">
        <x:f>IF(A56="","",IF(G56="NEW ITEM","NEW ITEM - REVIEW",IF(E56&gt;G56+H56,"OVER BASELINE","OK")))</x:f>
      </x:c>
      <x:c r="L56" s="11"/>
    </x:row>
    <x:row r="57">
      <x:c r="A57" s="11"/>
      <x:c r="B57" s="11"/>
      <x:c r="C57" s="11"/>
      <x:c r="D57" s="16"/>
      <x:c r="E57" s="18"/>
      <x:c r="F57" s="18" t="str">
        <x:f>IF(OR(D57="",E57=""),"",D57*E57)</x:f>
      </x:c>
      <x:c r="G57" s="18" t="str">
        <x:f>IFERROR(XLOOKUP(A57,'Baseline Price List'!$A:$A,'Baseline Price List'!$E:$E),"NEW ITEM")</x:f>
        <x:v>NEW ITEM</x:v>
      </x:c>
      <x:c r="H57" s="18" t="n">
        <x:f>$O$2</x:f>
        <x:v>0</x:v>
      </x:c>
      <x:c r="I57" s="18" t="str">
        <x:f>IF(OR(E57="",G57="NEW ITEM"),"",E57-G57)</x:f>
      </x:c>
      <x:c r="J57" s="18" t="str">
        <x:f>IF(OR(I57="",D57=""),"",MAX(0,I57-H57)*D57)</x:f>
      </x:c>
      <x:c r="K57" s="11" t="str">
        <x:f>IF(A57="","",IF(G57="NEW ITEM","NEW ITEM - REVIEW",IF(E57&gt;G57+H57,"OVER BASELINE","OK")))</x:f>
      </x:c>
      <x:c r="L57" s="11"/>
    </x:row>
    <x:row r="58">
      <x:c r="A58" s="11"/>
      <x:c r="B58" s="11"/>
      <x:c r="C58" s="11"/>
      <x:c r="D58" s="16"/>
      <x:c r="E58" s="18"/>
      <x:c r="F58" s="18" t="str">
        <x:f>IF(OR(D58="",E58=""),"",D58*E58)</x:f>
      </x:c>
      <x:c r="G58" s="18" t="str">
        <x:f>IFERROR(XLOOKUP(A58,'Baseline Price List'!$A:$A,'Baseline Price List'!$E:$E),"NEW ITEM")</x:f>
        <x:v>NEW ITEM</x:v>
      </x:c>
      <x:c r="H58" s="18" t="n">
        <x:f>$O$2</x:f>
        <x:v>0</x:v>
      </x:c>
      <x:c r="I58" s="18" t="str">
        <x:f>IF(OR(E58="",G58="NEW ITEM"),"",E58-G58)</x:f>
      </x:c>
      <x:c r="J58" s="18" t="str">
        <x:f>IF(OR(I58="",D58=""),"",MAX(0,I58-H58)*D58)</x:f>
      </x:c>
      <x:c r="K58" s="11" t="str">
        <x:f>IF(A58="","",IF(G58="NEW ITEM","NEW ITEM - REVIEW",IF(E58&gt;G58+H58,"OVER BASELINE","OK")))</x:f>
      </x:c>
      <x:c r="L58" s="11"/>
    </x:row>
    <x:row r="59">
      <x:c r="A59" s="11"/>
      <x:c r="B59" s="11"/>
      <x:c r="C59" s="11"/>
      <x:c r="D59" s="16"/>
      <x:c r="E59" s="18"/>
      <x:c r="F59" s="18" t="str">
        <x:f>IF(OR(D59="",E59=""),"",D59*E59)</x:f>
      </x:c>
      <x:c r="G59" s="18" t="str">
        <x:f>IFERROR(XLOOKUP(A59,'Baseline Price List'!$A:$A,'Baseline Price List'!$E:$E),"NEW ITEM")</x:f>
        <x:v>NEW ITEM</x:v>
      </x:c>
      <x:c r="H59" s="18" t="n">
        <x:f>$O$2</x:f>
        <x:v>0</x:v>
      </x:c>
      <x:c r="I59" s="18" t="str">
        <x:f>IF(OR(E59="",G59="NEW ITEM"),"",E59-G59)</x:f>
      </x:c>
      <x:c r="J59" s="18" t="str">
        <x:f>IF(OR(I59="",D59=""),"",MAX(0,I59-H59)*D59)</x:f>
      </x:c>
      <x:c r="K59" s="11" t="str">
        <x:f>IF(A59="","",IF(G59="NEW ITEM","NEW ITEM - REVIEW",IF(E59&gt;G59+H59,"OVER BASELINE","OK")))</x:f>
      </x:c>
      <x:c r="L59" s="11"/>
    </x:row>
    <x:row r="60">
      <x:c r="A60" s="11"/>
      <x:c r="B60" s="11"/>
      <x:c r="C60" s="11"/>
      <x:c r="D60" s="16"/>
      <x:c r="E60" s="18"/>
      <x:c r="F60" s="18" t="str">
        <x:f>IF(OR(D60="",E60=""),"",D60*E60)</x:f>
      </x:c>
      <x:c r="G60" s="18" t="str">
        <x:f>IFERROR(XLOOKUP(A60,'Baseline Price List'!$A:$A,'Baseline Price List'!$E:$E),"NEW ITEM")</x:f>
        <x:v>NEW ITEM</x:v>
      </x:c>
      <x:c r="H60" s="18" t="n">
        <x:f>$O$2</x:f>
        <x:v>0</x:v>
      </x:c>
      <x:c r="I60" s="18" t="str">
        <x:f>IF(OR(E60="",G60="NEW ITEM"),"",E60-G60)</x:f>
      </x:c>
      <x:c r="J60" s="18" t="str">
        <x:f>IF(OR(I60="",D60=""),"",MAX(0,I60-H60)*D60)</x:f>
      </x:c>
      <x:c r="K60" s="11" t="str">
        <x:f>IF(A60="","",IF(G60="NEW ITEM","NEW ITEM - REVIEW",IF(E60&gt;G60+H60,"OVER BASELINE","OK")))</x:f>
      </x:c>
      <x:c r="L60" s="11"/>
    </x:row>
    <x:row r="61">
      <x:c r="A61" s="11"/>
      <x:c r="B61" s="11"/>
      <x:c r="C61" s="11"/>
      <x:c r="D61" s="16"/>
      <x:c r="E61" s="18"/>
      <x:c r="F61" s="18" t="str">
        <x:f>IF(OR(D61="",E61=""),"",D61*E61)</x:f>
      </x:c>
      <x:c r="G61" s="18" t="str">
        <x:f>IFERROR(XLOOKUP(A61,'Baseline Price List'!$A:$A,'Baseline Price List'!$E:$E),"NEW ITEM")</x:f>
        <x:v>NEW ITEM</x:v>
      </x:c>
      <x:c r="H61" s="18" t="n">
        <x:f>$O$2</x:f>
        <x:v>0</x:v>
      </x:c>
      <x:c r="I61" s="18" t="str">
        <x:f>IF(OR(E61="",G61="NEW ITEM"),"",E61-G61)</x:f>
      </x:c>
      <x:c r="J61" s="18" t="str">
        <x:f>IF(OR(I61="",D61=""),"",MAX(0,I61-H61)*D61)</x:f>
      </x:c>
      <x:c r="K61" s="11" t="str">
        <x:f>IF(A61="","",IF(G61="NEW ITEM","NEW ITEM - REVIEW",IF(E61&gt;G61+H61,"OVER BASELINE","OK")))</x:f>
      </x:c>
      <x:c r="L61" s="11"/>
    </x:row>
    <x:row r="62">
      <x:c r="A62" s="11"/>
      <x:c r="B62" s="11"/>
      <x:c r="C62" s="11"/>
      <x:c r="D62" s="16"/>
      <x:c r="E62" s="18"/>
      <x:c r="F62" s="18" t="str">
        <x:f>IF(OR(D62="",E62=""),"",D62*E62)</x:f>
      </x:c>
      <x:c r="G62" s="18" t="str">
        <x:f>IFERROR(XLOOKUP(A62,'Baseline Price List'!$A:$A,'Baseline Price List'!$E:$E),"NEW ITEM")</x:f>
        <x:v>NEW ITEM</x:v>
      </x:c>
      <x:c r="H62" s="18" t="n">
        <x:f>$O$2</x:f>
        <x:v>0</x:v>
      </x:c>
      <x:c r="I62" s="18" t="str">
        <x:f>IF(OR(E62="",G62="NEW ITEM"),"",E62-G62)</x:f>
      </x:c>
      <x:c r="J62" s="18" t="str">
        <x:f>IF(OR(I62="",D62=""),"",MAX(0,I62-H62)*D62)</x:f>
      </x:c>
      <x:c r="K62" s="11" t="str">
        <x:f>IF(A62="","",IF(G62="NEW ITEM","NEW ITEM - REVIEW",IF(E62&gt;G62+H62,"OVER BASELINE","OK")))</x:f>
      </x:c>
      <x:c r="L62" s="11"/>
    </x:row>
    <x:row r="63">
      <x:c r="A63" s="11"/>
      <x:c r="B63" s="11"/>
      <x:c r="C63" s="11"/>
      <x:c r="D63" s="16"/>
      <x:c r="E63" s="18"/>
      <x:c r="F63" s="18" t="str">
        <x:f>IF(OR(D63="",E63=""),"",D63*E63)</x:f>
      </x:c>
      <x:c r="G63" s="18" t="str">
        <x:f>IFERROR(XLOOKUP(A63,'Baseline Price List'!$A:$A,'Baseline Price List'!$E:$E),"NEW ITEM")</x:f>
        <x:v>NEW ITEM</x:v>
      </x:c>
      <x:c r="H63" s="18" t="n">
        <x:f>$O$2</x:f>
        <x:v>0</x:v>
      </x:c>
      <x:c r="I63" s="18" t="str">
        <x:f>IF(OR(E63="",G63="NEW ITEM"),"",E63-G63)</x:f>
      </x:c>
      <x:c r="J63" s="18" t="str">
        <x:f>IF(OR(I63="",D63=""),"",MAX(0,I63-H63)*D63)</x:f>
      </x:c>
      <x:c r="K63" s="11" t="str">
        <x:f>IF(A63="","",IF(G63="NEW ITEM","NEW ITEM - REVIEW",IF(E63&gt;G63+H63,"OVER BASELINE","OK")))</x:f>
      </x:c>
      <x:c r="L63" s="11"/>
    </x:row>
    <x:row r="64">
      <x:c r="A64" s="11"/>
      <x:c r="B64" s="11"/>
      <x:c r="C64" s="11"/>
      <x:c r="D64" s="16"/>
      <x:c r="E64" s="18"/>
      <x:c r="F64" s="18" t="str">
        <x:f>IF(OR(D64="",E64=""),"",D64*E64)</x:f>
      </x:c>
      <x:c r="G64" s="18" t="str">
        <x:f>IFERROR(XLOOKUP(A64,'Baseline Price List'!$A:$A,'Baseline Price List'!$E:$E),"NEW ITEM")</x:f>
        <x:v>NEW ITEM</x:v>
      </x:c>
      <x:c r="H64" s="18" t="n">
        <x:f>$O$2</x:f>
        <x:v>0</x:v>
      </x:c>
      <x:c r="I64" s="18" t="str">
        <x:f>IF(OR(E64="",G64="NEW ITEM"),"",E64-G64)</x:f>
      </x:c>
      <x:c r="J64" s="18" t="str">
        <x:f>IF(OR(I64="",D64=""),"",MAX(0,I64-H64)*D64)</x:f>
      </x:c>
      <x:c r="K64" s="11" t="str">
        <x:f>IF(A64="","",IF(G64="NEW ITEM","NEW ITEM - REVIEW",IF(E64&gt;G64+H64,"OVER BASELINE","OK")))</x:f>
      </x:c>
      <x:c r="L64" s="11"/>
    </x:row>
    <x:row r="65">
      <x:c r="A65" s="11"/>
      <x:c r="B65" s="11"/>
      <x:c r="C65" s="11"/>
      <x:c r="D65" s="16"/>
      <x:c r="E65" s="18"/>
      <x:c r="F65" s="18" t="str">
        <x:f>IF(OR(D65="",E65=""),"",D65*E65)</x:f>
      </x:c>
      <x:c r="G65" s="18" t="str">
        <x:f>IFERROR(XLOOKUP(A65,'Baseline Price List'!$A:$A,'Baseline Price List'!$E:$E),"NEW ITEM")</x:f>
        <x:v>NEW ITEM</x:v>
      </x:c>
      <x:c r="H65" s="18" t="n">
        <x:f>$O$2</x:f>
        <x:v>0</x:v>
      </x:c>
      <x:c r="I65" s="18" t="str">
        <x:f>IF(OR(E65="",G65="NEW ITEM"),"",E65-G65)</x:f>
      </x:c>
      <x:c r="J65" s="18" t="str">
        <x:f>IF(OR(I65="",D65=""),"",MAX(0,I65-H65)*D65)</x:f>
      </x:c>
      <x:c r="K65" s="11" t="str">
        <x:f>IF(A65="","",IF(G65="NEW ITEM","NEW ITEM - REVIEW",IF(E65&gt;G65+H65,"OVER BASELINE","OK")))</x:f>
      </x:c>
      <x:c r="L65" s="11"/>
    </x:row>
    <x:row r="66">
      <x:c r="A66" s="11"/>
      <x:c r="B66" s="11"/>
      <x:c r="C66" s="11"/>
      <x:c r="D66" s="16"/>
      <x:c r="E66" s="18"/>
      <x:c r="F66" s="18" t="str">
        <x:f>IF(OR(D66="",E66=""),"",D66*E66)</x:f>
      </x:c>
      <x:c r="G66" s="18" t="str">
        <x:f>IFERROR(XLOOKUP(A66,'Baseline Price List'!$A:$A,'Baseline Price List'!$E:$E),"NEW ITEM")</x:f>
        <x:v>NEW ITEM</x:v>
      </x:c>
      <x:c r="H66" s="18" t="n">
        <x:f>$O$2</x:f>
        <x:v>0</x:v>
      </x:c>
      <x:c r="I66" s="18" t="str">
        <x:f>IF(OR(E66="",G66="NEW ITEM"),"",E66-G66)</x:f>
      </x:c>
      <x:c r="J66" s="18" t="str">
        <x:f>IF(OR(I66="",D66=""),"",MAX(0,I66-H66)*D66)</x:f>
      </x:c>
      <x:c r="K66" s="11" t="str">
        <x:f>IF(A66="","",IF(G66="NEW ITEM","NEW ITEM - REVIEW",IF(E66&gt;G66+H66,"OVER BASELINE","OK")))</x:f>
      </x:c>
      <x:c r="L66" s="11"/>
    </x:row>
    <x:row r="67">
      <x:c r="A67" s="11"/>
      <x:c r="B67" s="11"/>
      <x:c r="C67" s="11"/>
      <x:c r="D67" s="16"/>
      <x:c r="E67" s="18"/>
      <x:c r="F67" s="18" t="str">
        <x:f>IF(OR(D67="",E67=""),"",D67*E67)</x:f>
      </x:c>
      <x:c r="G67" s="18" t="str">
        <x:f>IFERROR(XLOOKUP(A67,'Baseline Price List'!$A:$A,'Baseline Price List'!$E:$E),"NEW ITEM")</x:f>
        <x:v>NEW ITEM</x:v>
      </x:c>
      <x:c r="H67" s="18" t="n">
        <x:f>$O$2</x:f>
        <x:v>0</x:v>
      </x:c>
      <x:c r="I67" s="18" t="str">
        <x:f>IF(OR(E67="",G67="NEW ITEM"),"",E67-G67)</x:f>
      </x:c>
      <x:c r="J67" s="18" t="str">
        <x:f>IF(OR(I67="",D67=""),"",MAX(0,I67-H67)*D67)</x:f>
      </x:c>
      <x:c r="K67" s="11" t="str">
        <x:f>IF(A67="","",IF(G67="NEW ITEM","NEW ITEM - REVIEW",IF(E67&gt;G67+H67,"OVER BASELINE","OK")))</x:f>
      </x:c>
      <x:c r="L67" s="11"/>
    </x:row>
    <x:row r="68">
      <x:c r="A68" s="11"/>
      <x:c r="B68" s="11"/>
      <x:c r="C68" s="11"/>
      <x:c r="D68" s="16"/>
      <x:c r="E68" s="18"/>
      <x:c r="F68" s="18" t="str">
        <x:f>IF(OR(D68="",E68=""),"",D68*E68)</x:f>
      </x:c>
      <x:c r="G68" s="18" t="str">
        <x:f>IFERROR(XLOOKUP(A68,'Baseline Price List'!$A:$A,'Baseline Price List'!$E:$E),"NEW ITEM")</x:f>
        <x:v>NEW ITEM</x:v>
      </x:c>
      <x:c r="H68" s="18" t="n">
        <x:f>$O$2</x:f>
        <x:v>0</x:v>
      </x:c>
      <x:c r="I68" s="18" t="str">
        <x:f>IF(OR(E68="",G68="NEW ITEM"),"",E68-G68)</x:f>
      </x:c>
      <x:c r="J68" s="18" t="str">
        <x:f>IF(OR(I68="",D68=""),"",MAX(0,I68-H68)*D68)</x:f>
      </x:c>
      <x:c r="K68" s="11" t="str">
        <x:f>IF(A68="","",IF(G68="NEW ITEM","NEW ITEM - REVIEW",IF(E68&gt;G68+H68,"OVER BASELINE","OK")))</x:f>
      </x:c>
      <x:c r="L68" s="11"/>
    </x:row>
    <x:row r="69">
      <x:c r="A69" s="11"/>
      <x:c r="B69" s="11"/>
      <x:c r="C69" s="11"/>
      <x:c r="D69" s="16"/>
      <x:c r="E69" s="18"/>
      <x:c r="F69" s="18" t="str">
        <x:f>IF(OR(D69="",E69=""),"",D69*E69)</x:f>
      </x:c>
      <x:c r="G69" s="18" t="str">
        <x:f>IFERROR(XLOOKUP(A69,'Baseline Price List'!$A:$A,'Baseline Price List'!$E:$E),"NEW ITEM")</x:f>
        <x:v>NEW ITEM</x:v>
      </x:c>
      <x:c r="H69" s="18" t="n">
        <x:f>$O$2</x:f>
        <x:v>0</x:v>
      </x:c>
      <x:c r="I69" s="18" t="str">
        <x:f>IF(OR(E69="",G69="NEW ITEM"),"",E69-G69)</x:f>
      </x:c>
      <x:c r="J69" s="18" t="str">
        <x:f>IF(OR(I69="",D69=""),"",MAX(0,I69-H69)*D69)</x:f>
      </x:c>
      <x:c r="K69" s="11" t="str">
        <x:f>IF(A69="","",IF(G69="NEW ITEM","NEW ITEM - REVIEW",IF(E69&gt;G69+H69,"OVER BASELINE","OK")))</x:f>
      </x:c>
      <x:c r="L69" s="11"/>
    </x:row>
    <x:row r="70">
      <x:c r="A70" s="11"/>
      <x:c r="B70" s="11"/>
      <x:c r="C70" s="11"/>
      <x:c r="D70" s="16"/>
      <x:c r="E70" s="18"/>
      <x:c r="F70" s="18" t="str">
        <x:f>IF(OR(D70="",E70=""),"",D70*E70)</x:f>
      </x:c>
      <x:c r="G70" s="18" t="str">
        <x:f>IFERROR(XLOOKUP(A70,'Baseline Price List'!$A:$A,'Baseline Price List'!$E:$E),"NEW ITEM")</x:f>
        <x:v>NEW ITEM</x:v>
      </x:c>
      <x:c r="H70" s="18" t="n">
        <x:f>$O$2</x:f>
        <x:v>0</x:v>
      </x:c>
      <x:c r="I70" s="18" t="str">
        <x:f>IF(OR(E70="",G70="NEW ITEM"),"",E70-G70)</x:f>
      </x:c>
      <x:c r="J70" s="18" t="str">
        <x:f>IF(OR(I70="",D70=""),"",MAX(0,I70-H70)*D70)</x:f>
      </x:c>
      <x:c r="K70" s="11" t="str">
        <x:f>IF(A70="","",IF(G70="NEW ITEM","NEW ITEM - REVIEW",IF(E70&gt;G70+H70,"OVER BASELINE","OK")))</x:f>
      </x:c>
      <x:c r="L70" s="11"/>
    </x:row>
    <x:row r="71">
      <x:c r="A71" s="11"/>
      <x:c r="B71" s="11"/>
      <x:c r="C71" s="11"/>
      <x:c r="D71" s="16"/>
      <x:c r="E71" s="18"/>
      <x:c r="F71" s="18" t="str">
        <x:f>IF(OR(D71="",E71=""),"",D71*E71)</x:f>
      </x:c>
      <x:c r="G71" s="18" t="str">
        <x:f>IFERROR(XLOOKUP(A71,'Baseline Price List'!$A:$A,'Baseline Price List'!$E:$E),"NEW ITEM")</x:f>
        <x:v>NEW ITEM</x:v>
      </x:c>
      <x:c r="H71" s="18" t="n">
        <x:f>$O$2</x:f>
        <x:v>0</x:v>
      </x:c>
      <x:c r="I71" s="18" t="str">
        <x:f>IF(OR(E71="",G71="NEW ITEM"),"",E71-G71)</x:f>
      </x:c>
      <x:c r="J71" s="18" t="str">
        <x:f>IF(OR(I71="",D71=""),"",MAX(0,I71-H71)*D71)</x:f>
      </x:c>
      <x:c r="K71" s="11" t="str">
        <x:f>IF(A71="","",IF(G71="NEW ITEM","NEW ITEM - REVIEW",IF(E71&gt;G71+H71,"OVER BASELINE","OK")))</x:f>
      </x:c>
      <x:c r="L71" s="11"/>
    </x:row>
    <x:row r="72">
      <x:c r="A72" s="11"/>
      <x:c r="B72" s="11"/>
      <x:c r="C72" s="11"/>
      <x:c r="D72" s="16"/>
      <x:c r="E72" s="18"/>
      <x:c r="F72" s="18" t="str">
        <x:f>IF(OR(D72="",E72=""),"",D72*E72)</x:f>
      </x:c>
      <x:c r="G72" s="18" t="str">
        <x:f>IFERROR(XLOOKUP(A72,'Baseline Price List'!$A:$A,'Baseline Price List'!$E:$E),"NEW ITEM")</x:f>
        <x:v>NEW ITEM</x:v>
      </x:c>
      <x:c r="H72" s="18" t="n">
        <x:f>$O$2</x:f>
        <x:v>0</x:v>
      </x:c>
      <x:c r="I72" s="18" t="str">
        <x:f>IF(OR(E72="",G72="NEW ITEM"),"",E72-G72)</x:f>
      </x:c>
      <x:c r="J72" s="18" t="str">
        <x:f>IF(OR(I72="",D72=""),"",MAX(0,I72-H72)*D72)</x:f>
      </x:c>
      <x:c r="K72" s="11" t="str">
        <x:f>IF(A72="","",IF(G72="NEW ITEM","NEW ITEM - REVIEW",IF(E72&gt;G72+H72,"OVER BASELINE","OK")))</x:f>
      </x:c>
      <x:c r="L72" s="11"/>
    </x:row>
    <x:row r="73">
      <x:c r="A73" s="11"/>
      <x:c r="B73" s="11"/>
      <x:c r="C73" s="11"/>
      <x:c r="D73" s="16"/>
      <x:c r="E73" s="18"/>
      <x:c r="F73" s="18" t="str">
        <x:f>IF(OR(D73="",E73=""),"",D73*E73)</x:f>
      </x:c>
      <x:c r="G73" s="18" t="str">
        <x:f>IFERROR(XLOOKUP(A73,'Baseline Price List'!$A:$A,'Baseline Price List'!$E:$E),"NEW ITEM")</x:f>
        <x:v>NEW ITEM</x:v>
      </x:c>
      <x:c r="H73" s="18" t="n">
        <x:f>$O$2</x:f>
        <x:v>0</x:v>
      </x:c>
      <x:c r="I73" s="18" t="str">
        <x:f>IF(OR(E73="",G73="NEW ITEM"),"",E73-G73)</x:f>
      </x:c>
      <x:c r="J73" s="18" t="str">
        <x:f>IF(OR(I73="",D73=""),"",MAX(0,I73-H73)*D73)</x:f>
      </x:c>
      <x:c r="K73" s="11" t="str">
        <x:f>IF(A73="","",IF(G73="NEW ITEM","NEW ITEM - REVIEW",IF(E73&gt;G73+H73,"OVER BASELINE","OK")))</x:f>
      </x:c>
      <x:c r="L73" s="11"/>
    </x:row>
    <x:row r="74">
      <x:c r="A74" s="11"/>
      <x:c r="B74" s="11"/>
      <x:c r="C74" s="11"/>
      <x:c r="D74" s="16"/>
      <x:c r="E74" s="18"/>
      <x:c r="F74" s="18" t="str">
        <x:f>IF(OR(D74="",E74=""),"",D74*E74)</x:f>
      </x:c>
      <x:c r="G74" s="18" t="str">
        <x:f>IFERROR(XLOOKUP(A74,'Baseline Price List'!$A:$A,'Baseline Price List'!$E:$E),"NEW ITEM")</x:f>
        <x:v>NEW ITEM</x:v>
      </x:c>
      <x:c r="H74" s="18" t="n">
        <x:f>$O$2</x:f>
        <x:v>0</x:v>
      </x:c>
      <x:c r="I74" s="18" t="str">
        <x:f>IF(OR(E74="",G74="NEW ITEM"),"",E74-G74)</x:f>
      </x:c>
      <x:c r="J74" s="18" t="str">
        <x:f>IF(OR(I74="",D74=""),"",MAX(0,I74-H74)*D74)</x:f>
      </x:c>
      <x:c r="K74" s="11" t="str">
        <x:f>IF(A74="","",IF(G74="NEW ITEM","NEW ITEM - REVIEW",IF(E74&gt;G74+H74,"OVER BASELINE","OK")))</x:f>
      </x:c>
      <x:c r="L74" s="11"/>
    </x:row>
    <x:row r="75">
      <x:c r="A75" s="11"/>
      <x:c r="B75" s="11"/>
      <x:c r="C75" s="11"/>
      <x:c r="D75" s="16"/>
      <x:c r="E75" s="18"/>
      <x:c r="F75" s="18" t="str">
        <x:f>IF(OR(D75="",E75=""),"",D75*E75)</x:f>
      </x:c>
      <x:c r="G75" s="18" t="str">
        <x:f>IFERROR(XLOOKUP(A75,'Baseline Price List'!$A:$A,'Baseline Price List'!$E:$E),"NEW ITEM")</x:f>
        <x:v>NEW ITEM</x:v>
      </x:c>
      <x:c r="H75" s="18" t="n">
        <x:f>$O$2</x:f>
        <x:v>0</x:v>
      </x:c>
      <x:c r="I75" s="18" t="str">
        <x:f>IF(OR(E75="",G75="NEW ITEM"),"",E75-G75)</x:f>
      </x:c>
      <x:c r="J75" s="18" t="str">
        <x:f>IF(OR(I75="",D75=""),"",MAX(0,I75-H75)*D75)</x:f>
      </x:c>
      <x:c r="K75" s="11" t="str">
        <x:f>IF(A75="","",IF(G75="NEW ITEM","NEW ITEM - REVIEW",IF(E75&gt;G75+H75,"OVER BASELINE","OK")))</x:f>
      </x:c>
      <x:c r="L75" s="11"/>
    </x:row>
    <x:row r="76">
      <x:c r="A76" s="11"/>
      <x:c r="B76" s="11"/>
      <x:c r="C76" s="11"/>
      <x:c r="D76" s="16"/>
      <x:c r="E76" s="18"/>
      <x:c r="F76" s="18" t="str">
        <x:f>IF(OR(D76="",E76=""),"",D76*E76)</x:f>
      </x:c>
      <x:c r="G76" s="18" t="str">
        <x:f>IFERROR(XLOOKUP(A76,'Baseline Price List'!$A:$A,'Baseline Price List'!$E:$E),"NEW ITEM")</x:f>
        <x:v>NEW ITEM</x:v>
      </x:c>
      <x:c r="H76" s="18" t="n">
        <x:f>$O$2</x:f>
        <x:v>0</x:v>
      </x:c>
      <x:c r="I76" s="18" t="str">
        <x:f>IF(OR(E76="",G76="NEW ITEM"),"",E76-G76)</x:f>
      </x:c>
      <x:c r="J76" s="18" t="str">
        <x:f>IF(OR(I76="",D76=""),"",MAX(0,I76-H76)*D76)</x:f>
      </x:c>
      <x:c r="K76" s="11" t="str">
        <x:f>IF(A76="","",IF(G76="NEW ITEM","NEW ITEM - REVIEW",IF(E76&gt;G76+H76,"OVER BASELINE","OK")))</x:f>
      </x:c>
      <x:c r="L76" s="11"/>
    </x:row>
    <x:row r="77">
      <x:c r="A77" s="11"/>
      <x:c r="B77" s="11"/>
      <x:c r="C77" s="11"/>
      <x:c r="D77" s="16"/>
      <x:c r="E77" s="18"/>
      <x:c r="F77" s="18" t="str">
        <x:f>IF(OR(D77="",E77=""),"",D77*E77)</x:f>
      </x:c>
      <x:c r="G77" s="18" t="str">
        <x:f>IFERROR(XLOOKUP(A77,'Baseline Price List'!$A:$A,'Baseline Price List'!$E:$E),"NEW ITEM")</x:f>
        <x:v>NEW ITEM</x:v>
      </x:c>
      <x:c r="H77" s="18" t="n">
        <x:f>$O$2</x:f>
        <x:v>0</x:v>
      </x:c>
      <x:c r="I77" s="18" t="str">
        <x:f>IF(OR(E77="",G77="NEW ITEM"),"",E77-G77)</x:f>
      </x:c>
      <x:c r="J77" s="18" t="str">
        <x:f>IF(OR(I77="",D77=""),"",MAX(0,I77-H77)*D77)</x:f>
      </x:c>
      <x:c r="K77" s="11" t="str">
        <x:f>IF(A77="","",IF(G77="NEW ITEM","NEW ITEM - REVIEW",IF(E77&gt;G77+H77,"OVER BASELINE","OK")))</x:f>
      </x:c>
      <x:c r="L77" s="11"/>
    </x:row>
    <x:row r="78">
      <x:c r="A78" s="11"/>
      <x:c r="B78" s="11"/>
      <x:c r="C78" s="11"/>
      <x:c r="D78" s="16"/>
      <x:c r="E78" s="18"/>
      <x:c r="F78" s="18" t="str">
        <x:f>IF(OR(D78="",E78=""),"",D78*E78)</x:f>
      </x:c>
      <x:c r="G78" s="18" t="str">
        <x:f>IFERROR(XLOOKUP(A78,'Baseline Price List'!$A:$A,'Baseline Price List'!$E:$E),"NEW ITEM")</x:f>
        <x:v>NEW ITEM</x:v>
      </x:c>
      <x:c r="H78" s="18" t="n">
        <x:f>$O$2</x:f>
        <x:v>0</x:v>
      </x:c>
      <x:c r="I78" s="18" t="str">
        <x:f>IF(OR(E78="",G78="NEW ITEM"),"",E78-G78)</x:f>
      </x:c>
      <x:c r="J78" s="18" t="str">
        <x:f>IF(OR(I78="",D78=""),"",MAX(0,I78-H78)*D78)</x:f>
      </x:c>
      <x:c r="K78" s="11" t="str">
        <x:f>IF(A78="","",IF(G78="NEW ITEM","NEW ITEM - REVIEW",IF(E78&gt;G78+H78,"OVER BASELINE","OK")))</x:f>
      </x:c>
      <x:c r="L78" s="11"/>
    </x:row>
    <x:row r="79">
      <x:c r="A79" s="11"/>
      <x:c r="B79" s="11"/>
      <x:c r="C79" s="11"/>
      <x:c r="D79" s="16"/>
      <x:c r="E79" s="18"/>
      <x:c r="F79" s="18" t="str">
        <x:f>IF(OR(D79="",E79=""),"",D79*E79)</x:f>
      </x:c>
      <x:c r="G79" s="18" t="str">
        <x:f>IFERROR(XLOOKUP(A79,'Baseline Price List'!$A:$A,'Baseline Price List'!$E:$E),"NEW ITEM")</x:f>
        <x:v>NEW ITEM</x:v>
      </x:c>
      <x:c r="H79" s="18" t="n">
        <x:f>$O$2</x:f>
        <x:v>0</x:v>
      </x:c>
      <x:c r="I79" s="18" t="str">
        <x:f>IF(OR(E79="",G79="NEW ITEM"),"",E79-G79)</x:f>
      </x:c>
      <x:c r="J79" s="18" t="str">
        <x:f>IF(OR(I79="",D79=""),"",MAX(0,I79-H79)*D79)</x:f>
      </x:c>
      <x:c r="K79" s="11" t="str">
        <x:f>IF(A79="","",IF(G79="NEW ITEM","NEW ITEM - REVIEW",IF(E79&gt;G79+H79,"OVER BASELINE","OK")))</x:f>
      </x:c>
      <x:c r="L79" s="11"/>
    </x:row>
    <x:row r="80">
      <x:c r="A80" s="11"/>
      <x:c r="B80" s="11"/>
      <x:c r="C80" s="11"/>
      <x:c r="D80" s="16"/>
      <x:c r="E80" s="18"/>
      <x:c r="F80" s="18" t="str">
        <x:f>IF(OR(D80="",E80=""),"",D80*E80)</x:f>
      </x:c>
      <x:c r="G80" s="18" t="str">
        <x:f>IFERROR(XLOOKUP(A80,'Baseline Price List'!$A:$A,'Baseline Price List'!$E:$E),"NEW ITEM")</x:f>
        <x:v>NEW ITEM</x:v>
      </x:c>
      <x:c r="H80" s="18" t="n">
        <x:f>$O$2</x:f>
        <x:v>0</x:v>
      </x:c>
      <x:c r="I80" s="18" t="str">
        <x:f>IF(OR(E80="",G80="NEW ITEM"),"",E80-G80)</x:f>
      </x:c>
      <x:c r="J80" s="18" t="str">
        <x:f>IF(OR(I80="",D80=""),"",MAX(0,I80-H80)*D80)</x:f>
      </x:c>
      <x:c r="K80" s="11" t="str">
        <x:f>IF(A80="","",IF(G80="NEW ITEM","NEW ITEM - REVIEW",IF(E80&gt;G80+H80,"OVER BASELINE","OK")))</x:f>
      </x:c>
      <x:c r="L80" s="11"/>
    </x:row>
    <x:row r="81">
      <x:c r="A81" s="11"/>
      <x:c r="B81" s="11"/>
      <x:c r="C81" s="11"/>
      <x:c r="D81" s="16"/>
      <x:c r="E81" s="18"/>
      <x:c r="F81" s="18" t="str">
        <x:f>IF(OR(D81="",E81=""),"",D81*E81)</x:f>
      </x:c>
      <x:c r="G81" s="18" t="str">
        <x:f>IFERROR(XLOOKUP(A81,'Baseline Price List'!$A:$A,'Baseline Price List'!$E:$E),"NEW ITEM")</x:f>
        <x:v>NEW ITEM</x:v>
      </x:c>
      <x:c r="H81" s="18" t="n">
        <x:f>$O$2</x:f>
        <x:v>0</x:v>
      </x:c>
      <x:c r="I81" s="18" t="str">
        <x:f>IF(OR(E81="",G81="NEW ITEM"),"",E81-G81)</x:f>
      </x:c>
      <x:c r="J81" s="18" t="str">
        <x:f>IF(OR(I81="",D81=""),"",MAX(0,I81-H81)*D81)</x:f>
      </x:c>
      <x:c r="K81" s="11" t="str">
        <x:f>IF(A81="","",IF(G81="NEW ITEM","NEW ITEM - REVIEW",IF(E81&gt;G81+H81,"OVER BASELINE","OK")))</x:f>
      </x:c>
      <x:c r="L81" s="11"/>
    </x:row>
    <x:row r="82">
      <x:c r="A82" s="11"/>
      <x:c r="B82" s="11"/>
      <x:c r="C82" s="11"/>
      <x:c r="D82" s="16"/>
      <x:c r="E82" s="18"/>
      <x:c r="F82" s="18" t="str">
        <x:f>IF(OR(D82="",E82=""),"",D82*E82)</x:f>
      </x:c>
      <x:c r="G82" s="18" t="str">
        <x:f>IFERROR(XLOOKUP(A82,'Baseline Price List'!$A:$A,'Baseline Price List'!$E:$E),"NEW ITEM")</x:f>
        <x:v>NEW ITEM</x:v>
      </x:c>
      <x:c r="H82" s="18" t="n">
        <x:f>$O$2</x:f>
        <x:v>0</x:v>
      </x:c>
      <x:c r="I82" s="18" t="str">
        <x:f>IF(OR(E82="",G82="NEW ITEM"),"",E82-G82)</x:f>
      </x:c>
      <x:c r="J82" s="18" t="str">
        <x:f>IF(OR(I82="",D82=""),"",MAX(0,I82-H82)*D82)</x:f>
      </x:c>
      <x:c r="K82" s="11" t="str">
        <x:f>IF(A82="","",IF(G82="NEW ITEM","NEW ITEM - REVIEW",IF(E82&gt;G82+H82,"OVER BASELINE","OK")))</x:f>
      </x:c>
      <x:c r="L82" s="11"/>
    </x:row>
    <x:row r="83">
      <x:c r="A83" s="11"/>
      <x:c r="B83" s="11"/>
      <x:c r="C83" s="11"/>
      <x:c r="D83" s="16"/>
      <x:c r="E83" s="18"/>
      <x:c r="F83" s="18" t="str">
        <x:f>IF(OR(D83="",E83=""),"",D83*E83)</x:f>
      </x:c>
      <x:c r="G83" s="18" t="str">
        <x:f>IFERROR(XLOOKUP(A83,'Baseline Price List'!$A:$A,'Baseline Price List'!$E:$E),"NEW ITEM")</x:f>
        <x:v>NEW ITEM</x:v>
      </x:c>
      <x:c r="H83" s="18" t="n">
        <x:f>$O$2</x:f>
        <x:v>0</x:v>
      </x:c>
      <x:c r="I83" s="18" t="str">
        <x:f>IF(OR(E83="",G83="NEW ITEM"),"",E83-G83)</x:f>
      </x:c>
      <x:c r="J83" s="18" t="str">
        <x:f>IF(OR(I83="",D83=""),"",MAX(0,I83-H83)*D83)</x:f>
      </x:c>
      <x:c r="K83" s="11" t="str">
        <x:f>IF(A83="","",IF(G83="NEW ITEM","NEW ITEM - REVIEW",IF(E83&gt;G83+H83,"OVER BASELINE","OK")))</x:f>
      </x:c>
      <x:c r="L83" s="11"/>
    </x:row>
    <x:row r="84">
      <x:c r="A84" s="11"/>
      <x:c r="B84" s="11"/>
      <x:c r="C84" s="11"/>
      <x:c r="D84" s="16"/>
      <x:c r="E84" s="18"/>
      <x:c r="F84" s="18" t="str">
        <x:f>IF(OR(D84="",E84=""),"",D84*E84)</x:f>
      </x:c>
      <x:c r="G84" s="18" t="str">
        <x:f>IFERROR(XLOOKUP(A84,'Baseline Price List'!$A:$A,'Baseline Price List'!$E:$E),"NEW ITEM")</x:f>
        <x:v>NEW ITEM</x:v>
      </x:c>
      <x:c r="H84" s="18" t="n">
        <x:f>$O$2</x:f>
        <x:v>0</x:v>
      </x:c>
      <x:c r="I84" s="18" t="str">
        <x:f>IF(OR(E84="",G84="NEW ITEM"),"",E84-G84)</x:f>
      </x:c>
      <x:c r="J84" s="18" t="str">
        <x:f>IF(OR(I84="",D84=""),"",MAX(0,I84-H84)*D84)</x:f>
      </x:c>
      <x:c r="K84" s="11" t="str">
        <x:f>IF(A84="","",IF(G84="NEW ITEM","NEW ITEM - REVIEW",IF(E84&gt;G84+H84,"OVER BASELINE","OK")))</x:f>
      </x:c>
      <x:c r="L84" s="11"/>
    </x:row>
    <x:row r="85">
      <x:c r="A85" s="11"/>
      <x:c r="B85" s="11"/>
      <x:c r="C85" s="11"/>
      <x:c r="D85" s="16"/>
      <x:c r="E85" s="18"/>
      <x:c r="F85" s="18" t="str">
        <x:f>IF(OR(D85="",E85=""),"",D85*E85)</x:f>
      </x:c>
      <x:c r="G85" s="18" t="str">
        <x:f>IFERROR(XLOOKUP(A85,'Baseline Price List'!$A:$A,'Baseline Price List'!$E:$E),"NEW ITEM")</x:f>
        <x:v>NEW ITEM</x:v>
      </x:c>
      <x:c r="H85" s="18" t="n">
        <x:f>$O$2</x:f>
        <x:v>0</x:v>
      </x:c>
      <x:c r="I85" s="18" t="str">
        <x:f>IF(OR(E85="",G85="NEW ITEM"),"",E85-G85)</x:f>
      </x:c>
      <x:c r="J85" s="18" t="str">
        <x:f>IF(OR(I85="",D85=""),"",MAX(0,I85-H85)*D85)</x:f>
      </x:c>
      <x:c r="K85" s="11" t="str">
        <x:f>IF(A85="","",IF(G85="NEW ITEM","NEW ITEM - REVIEW",IF(E85&gt;G85+H85,"OVER BASELINE","OK")))</x:f>
      </x:c>
      <x:c r="L85" s="11"/>
    </x:row>
    <x:row r="86">
      <x:c r="A86" s="11"/>
      <x:c r="B86" s="11"/>
      <x:c r="C86" s="11"/>
      <x:c r="D86" s="16"/>
      <x:c r="E86" s="18"/>
      <x:c r="F86" s="18" t="str">
        <x:f>IF(OR(D86="",E86=""),"",D86*E86)</x:f>
      </x:c>
      <x:c r="G86" s="18" t="str">
        <x:f>IFERROR(XLOOKUP(A86,'Baseline Price List'!$A:$A,'Baseline Price List'!$E:$E),"NEW ITEM")</x:f>
        <x:v>NEW ITEM</x:v>
      </x:c>
      <x:c r="H86" s="18" t="n">
        <x:f>$O$2</x:f>
        <x:v>0</x:v>
      </x:c>
      <x:c r="I86" s="18" t="str">
        <x:f>IF(OR(E86="",G86="NEW ITEM"),"",E86-G86)</x:f>
      </x:c>
      <x:c r="J86" s="18" t="str">
        <x:f>IF(OR(I86="",D86=""),"",MAX(0,I86-H86)*D86)</x:f>
      </x:c>
      <x:c r="K86" s="11" t="str">
        <x:f>IF(A86="","",IF(G86="NEW ITEM","NEW ITEM - REVIEW",IF(E86&gt;G86+H86,"OVER BASELINE","OK")))</x:f>
      </x:c>
      <x:c r="L86" s="11"/>
    </x:row>
    <x:row r="87">
      <x:c r="A87" s="11"/>
      <x:c r="B87" s="11"/>
      <x:c r="C87" s="11"/>
      <x:c r="D87" s="16"/>
      <x:c r="E87" s="18"/>
      <x:c r="F87" s="18" t="str">
        <x:f>IF(OR(D87="",E87=""),"",D87*E87)</x:f>
      </x:c>
      <x:c r="G87" s="18" t="str">
        <x:f>IFERROR(XLOOKUP(A87,'Baseline Price List'!$A:$A,'Baseline Price List'!$E:$E),"NEW ITEM")</x:f>
        <x:v>NEW ITEM</x:v>
      </x:c>
      <x:c r="H87" s="18" t="n">
        <x:f>$O$2</x:f>
        <x:v>0</x:v>
      </x:c>
      <x:c r="I87" s="18" t="str">
        <x:f>IF(OR(E87="",G87="NEW ITEM"),"",E87-G87)</x:f>
      </x:c>
      <x:c r="J87" s="18" t="str">
        <x:f>IF(OR(I87="",D87=""),"",MAX(0,I87-H87)*D87)</x:f>
      </x:c>
      <x:c r="K87" s="11" t="str">
        <x:f>IF(A87="","",IF(G87="NEW ITEM","NEW ITEM - REVIEW",IF(E87&gt;G87+H87,"OVER BASELINE","OK")))</x:f>
      </x:c>
      <x:c r="L87" s="11"/>
    </x:row>
    <x:row r="88">
      <x:c r="A88" s="11"/>
      <x:c r="B88" s="11"/>
      <x:c r="C88" s="11"/>
      <x:c r="D88" s="16"/>
      <x:c r="E88" s="18"/>
      <x:c r="F88" s="18" t="str">
        <x:f>IF(OR(D88="",E88=""),"",D88*E88)</x:f>
      </x:c>
      <x:c r="G88" s="18" t="str">
        <x:f>IFERROR(XLOOKUP(A88,'Baseline Price List'!$A:$A,'Baseline Price List'!$E:$E),"NEW ITEM")</x:f>
        <x:v>NEW ITEM</x:v>
      </x:c>
      <x:c r="H88" s="18" t="n">
        <x:f>$O$2</x:f>
        <x:v>0</x:v>
      </x:c>
      <x:c r="I88" s="18" t="str">
        <x:f>IF(OR(E88="",G88="NEW ITEM"),"",E88-G88)</x:f>
      </x:c>
      <x:c r="J88" s="18" t="str">
        <x:f>IF(OR(I88="",D88=""),"",MAX(0,I88-H88)*D88)</x:f>
      </x:c>
      <x:c r="K88" s="11" t="str">
        <x:f>IF(A88="","",IF(G88="NEW ITEM","NEW ITEM - REVIEW",IF(E88&gt;G88+H88,"OVER BASELINE","OK")))</x:f>
      </x:c>
      <x:c r="L88" s="11"/>
    </x:row>
    <x:row r="89">
      <x:c r="A89" s="11"/>
      <x:c r="B89" s="11"/>
      <x:c r="C89" s="11"/>
      <x:c r="D89" s="16"/>
      <x:c r="E89" s="18"/>
      <x:c r="F89" s="18" t="str">
        <x:f>IF(OR(D89="",E89=""),"",D89*E89)</x:f>
      </x:c>
      <x:c r="G89" s="18" t="str">
        <x:f>IFERROR(XLOOKUP(A89,'Baseline Price List'!$A:$A,'Baseline Price List'!$E:$E),"NEW ITEM")</x:f>
        <x:v>NEW ITEM</x:v>
      </x:c>
      <x:c r="H89" s="18" t="n">
        <x:f>$O$2</x:f>
        <x:v>0</x:v>
      </x:c>
      <x:c r="I89" s="18" t="str">
        <x:f>IF(OR(E89="",G89="NEW ITEM"),"",E89-G89)</x:f>
      </x:c>
      <x:c r="J89" s="18" t="str">
        <x:f>IF(OR(I89="",D89=""),"",MAX(0,I89-H89)*D89)</x:f>
      </x:c>
      <x:c r="K89" s="11" t="str">
        <x:f>IF(A89="","",IF(G89="NEW ITEM","NEW ITEM - REVIEW",IF(E89&gt;G89+H89,"OVER BASELINE","OK")))</x:f>
      </x:c>
      <x:c r="L89" s="11"/>
    </x:row>
    <x:row r="90">
      <x:c r="A90" s="11"/>
      <x:c r="B90" s="11"/>
      <x:c r="C90" s="11"/>
      <x:c r="D90" s="16"/>
      <x:c r="E90" s="18"/>
      <x:c r="F90" s="18" t="str">
        <x:f>IF(OR(D90="",E90=""),"",D90*E90)</x:f>
      </x:c>
      <x:c r="G90" s="18" t="str">
        <x:f>IFERROR(XLOOKUP(A90,'Baseline Price List'!$A:$A,'Baseline Price List'!$E:$E),"NEW ITEM")</x:f>
        <x:v>NEW ITEM</x:v>
      </x:c>
      <x:c r="H90" s="18" t="n">
        <x:f>$O$2</x:f>
        <x:v>0</x:v>
      </x:c>
      <x:c r="I90" s="18" t="str">
        <x:f>IF(OR(E90="",G90="NEW ITEM"),"",E90-G90)</x:f>
      </x:c>
      <x:c r="J90" s="18" t="str">
        <x:f>IF(OR(I90="",D90=""),"",MAX(0,I90-H90)*D90)</x:f>
      </x:c>
      <x:c r="K90" s="11" t="str">
        <x:f>IF(A90="","",IF(G90="NEW ITEM","NEW ITEM - REVIEW",IF(E90&gt;G90+H90,"OVER BASELINE","OK")))</x:f>
      </x:c>
      <x:c r="L90" s="11"/>
    </x:row>
    <x:row r="91">
      <x:c r="A91" s="11"/>
      <x:c r="B91" s="11"/>
      <x:c r="C91" s="11"/>
      <x:c r="D91" s="16"/>
      <x:c r="E91" s="18"/>
      <x:c r="F91" s="18" t="str">
        <x:f>IF(OR(D91="",E91=""),"",D91*E91)</x:f>
      </x:c>
      <x:c r="G91" s="18" t="str">
        <x:f>IFERROR(XLOOKUP(A91,'Baseline Price List'!$A:$A,'Baseline Price List'!$E:$E),"NEW ITEM")</x:f>
        <x:v>NEW ITEM</x:v>
      </x:c>
      <x:c r="H91" s="18" t="n">
        <x:f>$O$2</x:f>
        <x:v>0</x:v>
      </x:c>
      <x:c r="I91" s="18" t="str">
        <x:f>IF(OR(E91="",G91="NEW ITEM"),"",E91-G91)</x:f>
      </x:c>
      <x:c r="J91" s="18" t="str">
        <x:f>IF(OR(I91="",D91=""),"",MAX(0,I91-H91)*D91)</x:f>
      </x:c>
      <x:c r="K91" s="11" t="str">
        <x:f>IF(A91="","",IF(G91="NEW ITEM","NEW ITEM - REVIEW",IF(E91&gt;G91+H91,"OVER BASELINE","OK")))</x:f>
      </x:c>
      <x:c r="L91" s="11"/>
    </x:row>
    <x:row r="92">
      <x:c r="A92" s="11"/>
      <x:c r="B92" s="11"/>
      <x:c r="C92" s="11"/>
      <x:c r="D92" s="16"/>
      <x:c r="E92" s="18"/>
      <x:c r="F92" s="18" t="str">
        <x:f>IF(OR(D92="",E92=""),"",D92*E92)</x:f>
      </x:c>
      <x:c r="G92" s="18" t="str">
        <x:f>IFERROR(XLOOKUP(A92,'Baseline Price List'!$A:$A,'Baseline Price List'!$E:$E),"NEW ITEM")</x:f>
        <x:v>NEW ITEM</x:v>
      </x:c>
      <x:c r="H92" s="18" t="n">
        <x:f>$O$2</x:f>
        <x:v>0</x:v>
      </x:c>
      <x:c r="I92" s="18" t="str">
        <x:f>IF(OR(E92="",G92="NEW ITEM"),"",E92-G92)</x:f>
      </x:c>
      <x:c r="J92" s="18" t="str">
        <x:f>IF(OR(I92="",D92=""),"",MAX(0,I92-H92)*D92)</x:f>
      </x:c>
      <x:c r="K92" s="11" t="str">
        <x:f>IF(A92="","",IF(G92="NEW ITEM","NEW ITEM - REVIEW",IF(E92&gt;G92+H92,"OVER BASELINE","OK")))</x:f>
      </x:c>
      <x:c r="L92" s="11"/>
    </x:row>
    <x:row r="93">
      <x:c r="A93" s="11"/>
      <x:c r="B93" s="11"/>
      <x:c r="C93" s="11"/>
      <x:c r="D93" s="16"/>
      <x:c r="E93" s="18"/>
      <x:c r="F93" s="18" t="str">
        <x:f>IF(OR(D93="",E93=""),"",D93*E93)</x:f>
      </x:c>
      <x:c r="G93" s="18" t="str">
        <x:f>IFERROR(XLOOKUP(A93,'Baseline Price List'!$A:$A,'Baseline Price List'!$E:$E),"NEW ITEM")</x:f>
        <x:v>NEW ITEM</x:v>
      </x:c>
      <x:c r="H93" s="18" t="n">
        <x:f>$O$2</x:f>
        <x:v>0</x:v>
      </x:c>
      <x:c r="I93" s="18" t="str">
        <x:f>IF(OR(E93="",G93="NEW ITEM"),"",E93-G93)</x:f>
      </x:c>
      <x:c r="J93" s="18" t="str">
        <x:f>IF(OR(I93="",D93=""),"",MAX(0,I93-H93)*D93)</x:f>
      </x:c>
      <x:c r="K93" s="11" t="str">
        <x:f>IF(A93="","",IF(G93="NEW ITEM","NEW ITEM - REVIEW",IF(E93&gt;G93+H93,"OVER BASELINE","OK")))</x:f>
      </x:c>
      <x:c r="L93" s="11"/>
    </x:row>
    <x:row r="94">
      <x:c r="A94" s="11"/>
      <x:c r="B94" s="11"/>
      <x:c r="C94" s="11"/>
      <x:c r="D94" s="16"/>
      <x:c r="E94" s="18"/>
      <x:c r="F94" s="18" t="str">
        <x:f>IF(OR(D94="",E94=""),"",D94*E94)</x:f>
      </x:c>
      <x:c r="G94" s="18" t="str">
        <x:f>IFERROR(XLOOKUP(A94,'Baseline Price List'!$A:$A,'Baseline Price List'!$E:$E),"NEW ITEM")</x:f>
        <x:v>NEW ITEM</x:v>
      </x:c>
      <x:c r="H94" s="18" t="n">
        <x:f>$O$2</x:f>
        <x:v>0</x:v>
      </x:c>
      <x:c r="I94" s="18" t="str">
        <x:f>IF(OR(E94="",G94="NEW ITEM"),"",E94-G94)</x:f>
      </x:c>
      <x:c r="J94" s="18" t="str">
        <x:f>IF(OR(I94="",D94=""),"",MAX(0,I94-H94)*D94)</x:f>
      </x:c>
      <x:c r="K94" s="11" t="str">
        <x:f>IF(A94="","",IF(G94="NEW ITEM","NEW ITEM - REVIEW",IF(E94&gt;G94+H94,"OVER BASELINE","OK")))</x:f>
      </x:c>
      <x:c r="L94" s="11"/>
    </x:row>
    <x:row r="95">
      <x:c r="A95" s="11"/>
      <x:c r="B95" s="11"/>
      <x:c r="C95" s="11"/>
      <x:c r="D95" s="16"/>
      <x:c r="E95" s="18"/>
      <x:c r="F95" s="18" t="str">
        <x:f>IF(OR(D95="",E95=""),"",D95*E95)</x:f>
      </x:c>
      <x:c r="G95" s="18" t="str">
        <x:f>IFERROR(XLOOKUP(A95,'Baseline Price List'!$A:$A,'Baseline Price List'!$E:$E),"NEW ITEM")</x:f>
        <x:v>NEW ITEM</x:v>
      </x:c>
      <x:c r="H95" s="18" t="n">
        <x:f>$O$2</x:f>
        <x:v>0</x:v>
      </x:c>
      <x:c r="I95" s="18" t="str">
        <x:f>IF(OR(E95="",G95="NEW ITEM"),"",E95-G95)</x:f>
      </x:c>
      <x:c r="J95" s="18" t="str">
        <x:f>IF(OR(I95="",D95=""),"",MAX(0,I95-H95)*D95)</x:f>
      </x:c>
      <x:c r="K95" s="11" t="str">
        <x:f>IF(A95="","",IF(G95="NEW ITEM","NEW ITEM - REVIEW",IF(E95&gt;G95+H95,"OVER BASELINE","OK")))</x:f>
      </x:c>
      <x:c r="L95" s="11"/>
    </x:row>
    <x:row r="96">
      <x:c r="A96" s="11"/>
      <x:c r="B96" s="11"/>
      <x:c r="C96" s="11"/>
      <x:c r="D96" s="16"/>
      <x:c r="E96" s="18"/>
      <x:c r="F96" s="18" t="str">
        <x:f>IF(OR(D96="",E96=""),"",D96*E96)</x:f>
      </x:c>
      <x:c r="G96" s="18" t="str">
        <x:f>IFERROR(XLOOKUP(A96,'Baseline Price List'!$A:$A,'Baseline Price List'!$E:$E),"NEW ITEM")</x:f>
        <x:v>NEW ITEM</x:v>
      </x:c>
      <x:c r="H96" s="18" t="n">
        <x:f>$O$2</x:f>
        <x:v>0</x:v>
      </x:c>
      <x:c r="I96" s="18" t="str">
        <x:f>IF(OR(E96="",G96="NEW ITEM"),"",E96-G96)</x:f>
      </x:c>
      <x:c r="J96" s="18" t="str">
        <x:f>IF(OR(I96="",D96=""),"",MAX(0,I96-H96)*D96)</x:f>
      </x:c>
      <x:c r="K96" s="11" t="str">
        <x:f>IF(A96="","",IF(G96="NEW ITEM","NEW ITEM - REVIEW",IF(E96&gt;G96+H96,"OVER BASELINE","OK")))</x:f>
      </x:c>
      <x:c r="L96" s="11"/>
    </x:row>
    <x:row r="97">
      <x:c r="A97" s="11"/>
      <x:c r="B97" s="11"/>
      <x:c r="C97" s="11"/>
      <x:c r="D97" s="16"/>
      <x:c r="E97" s="18"/>
      <x:c r="F97" s="18" t="str">
        <x:f>IF(OR(D97="",E97=""),"",D97*E97)</x:f>
      </x:c>
      <x:c r="G97" s="18" t="str">
        <x:f>IFERROR(XLOOKUP(A97,'Baseline Price List'!$A:$A,'Baseline Price List'!$E:$E),"NEW ITEM")</x:f>
        <x:v>NEW ITEM</x:v>
      </x:c>
      <x:c r="H97" s="18" t="n">
        <x:f>$O$2</x:f>
        <x:v>0</x:v>
      </x:c>
      <x:c r="I97" s="18" t="str">
        <x:f>IF(OR(E97="",G97="NEW ITEM"),"",E97-G97)</x:f>
      </x:c>
      <x:c r="J97" s="18" t="str">
        <x:f>IF(OR(I97="",D97=""),"",MAX(0,I97-H97)*D97)</x:f>
      </x:c>
      <x:c r="K97" s="11" t="str">
        <x:f>IF(A97="","",IF(G97="NEW ITEM","NEW ITEM - REVIEW",IF(E97&gt;G97+H97,"OVER BASELINE","OK")))</x:f>
      </x:c>
      <x:c r="L97" s="11"/>
    </x:row>
    <x:row r="98">
      <x:c r="A98" s="11"/>
      <x:c r="B98" s="11"/>
      <x:c r="C98" s="11"/>
      <x:c r="D98" s="16"/>
      <x:c r="E98" s="18"/>
      <x:c r="F98" s="18" t="str">
        <x:f>IF(OR(D98="",E98=""),"",D98*E98)</x:f>
      </x:c>
      <x:c r="G98" s="18" t="str">
        <x:f>IFERROR(XLOOKUP(A98,'Baseline Price List'!$A:$A,'Baseline Price List'!$E:$E),"NEW ITEM")</x:f>
        <x:v>NEW ITEM</x:v>
      </x:c>
      <x:c r="H98" s="18" t="n">
        <x:f>$O$2</x:f>
        <x:v>0</x:v>
      </x:c>
      <x:c r="I98" s="18" t="str">
        <x:f>IF(OR(E98="",G98="NEW ITEM"),"",E98-G98)</x:f>
      </x:c>
      <x:c r="J98" s="18" t="str">
        <x:f>IF(OR(I98="",D98=""),"",MAX(0,I98-H98)*D98)</x:f>
      </x:c>
      <x:c r="K98" s="11" t="str">
        <x:f>IF(A98="","",IF(G98="NEW ITEM","NEW ITEM - REVIEW",IF(E98&gt;G98+H98,"OVER BASELINE","OK")))</x:f>
      </x:c>
      <x:c r="L98" s="11"/>
    </x:row>
    <x:row r="99">
      <x:c r="A99" s="11"/>
      <x:c r="B99" s="11"/>
      <x:c r="C99" s="11"/>
      <x:c r="D99" s="16"/>
      <x:c r="E99" s="18"/>
      <x:c r="F99" s="18" t="str">
        <x:f>IF(OR(D99="",E99=""),"",D99*E99)</x:f>
      </x:c>
      <x:c r="G99" s="18" t="str">
        <x:f>IFERROR(XLOOKUP(A99,'Baseline Price List'!$A:$A,'Baseline Price List'!$E:$E),"NEW ITEM")</x:f>
        <x:v>NEW ITEM</x:v>
      </x:c>
      <x:c r="H99" s="18" t="n">
        <x:f>$O$2</x:f>
        <x:v>0</x:v>
      </x:c>
      <x:c r="I99" s="18" t="str">
        <x:f>IF(OR(E99="",G99="NEW ITEM"),"",E99-G99)</x:f>
      </x:c>
      <x:c r="J99" s="18" t="str">
        <x:f>IF(OR(I99="",D99=""),"",MAX(0,I99-H99)*D99)</x:f>
      </x:c>
      <x:c r="K99" s="11" t="str">
        <x:f>IF(A99="","",IF(G99="NEW ITEM","NEW ITEM - REVIEW",IF(E99&gt;G99+H99,"OVER BASELINE","OK")))</x:f>
      </x:c>
      <x:c r="L99" s="11"/>
    </x:row>
    <x:row r="100">
      <x:c r="A100" s="11"/>
      <x:c r="B100" s="11"/>
      <x:c r="C100" s="11"/>
      <x:c r="D100" s="16"/>
      <x:c r="E100" s="18"/>
      <x:c r="F100" s="18" t="str">
        <x:f>IF(OR(D100="",E100=""),"",D100*E100)</x:f>
      </x:c>
      <x:c r="G100" s="18" t="str">
        <x:f>IFERROR(XLOOKUP(A100,'Baseline Price List'!$A:$A,'Baseline Price List'!$E:$E),"NEW ITEM")</x:f>
        <x:v>NEW ITEM</x:v>
      </x:c>
      <x:c r="H100" s="18" t="n">
        <x:f>$O$2</x:f>
        <x:v>0</x:v>
      </x:c>
      <x:c r="I100" s="18" t="str">
        <x:f>IF(OR(E100="",G100="NEW ITEM"),"",E100-G100)</x:f>
      </x:c>
      <x:c r="J100" s="18" t="str">
        <x:f>IF(OR(I100="",D100=""),"",MAX(0,I100-H100)*D100)</x:f>
      </x:c>
      <x:c r="K100" s="11" t="str">
        <x:f>IF(A100="","",IF(G100="NEW ITEM","NEW ITEM - REVIEW",IF(E100&gt;G100+H100,"OVER BASELINE","OK")))</x:f>
      </x:c>
      <x:c r="L100" s="11"/>
    </x:row>
    <x:row r="101">
      <x:c r="A101" s="11"/>
      <x:c r="B101" s="11"/>
      <x:c r="C101" s="11"/>
      <x:c r="D101" s="16"/>
      <x:c r="E101" s="18"/>
      <x:c r="F101" s="18" t="str">
        <x:f>IF(OR(D101="",E101=""),"",D101*E101)</x:f>
      </x:c>
      <x:c r="G101" s="18" t="str">
        <x:f>IFERROR(XLOOKUP(A101,'Baseline Price List'!$A:$A,'Baseline Price List'!$E:$E),"NEW ITEM")</x:f>
        <x:v>NEW ITEM</x:v>
      </x:c>
      <x:c r="H101" s="18" t="n">
        <x:f>$O$2</x:f>
        <x:v>0</x:v>
      </x:c>
      <x:c r="I101" s="18" t="str">
        <x:f>IF(OR(E101="",G101="NEW ITEM"),"",E101-G101)</x:f>
      </x:c>
      <x:c r="J101" s="18" t="str">
        <x:f>IF(OR(I101="",D101=""),"",MAX(0,I101-H101)*D101)</x:f>
      </x:c>
      <x:c r="K101" s="11" t="str">
        <x:f>IF(A101="","",IF(G101="NEW ITEM","NEW ITEM - REVIEW",IF(E101&gt;G101+H101,"OVER BASELINE","OK")))</x:f>
      </x:c>
      <x:c r="L101" s="11"/>
    </x:row>
    <x:row r="102">
      <x:c r="A102" s="11"/>
      <x:c r="B102" s="11"/>
      <x:c r="C102" s="11"/>
      <x:c r="D102" s="16"/>
      <x:c r="E102" s="18"/>
      <x:c r="F102" s="18" t="str">
        <x:f>IF(OR(D102="",E102=""),"",D102*E102)</x:f>
      </x:c>
      <x:c r="G102" s="18" t="str">
        <x:f>IFERROR(XLOOKUP(A102,'Baseline Price List'!$A:$A,'Baseline Price List'!$E:$E),"NEW ITEM")</x:f>
        <x:v>NEW ITEM</x:v>
      </x:c>
      <x:c r="H102" s="18" t="n">
        <x:f>$O$2</x:f>
        <x:v>0</x:v>
      </x:c>
      <x:c r="I102" s="18" t="str">
        <x:f>IF(OR(E102="",G102="NEW ITEM"),"",E102-G102)</x:f>
      </x:c>
      <x:c r="J102" s="18" t="str">
        <x:f>IF(OR(I102="",D102=""),"",MAX(0,I102-H102)*D102)</x:f>
      </x:c>
      <x:c r="K102" s="11" t="str">
        <x:f>IF(A102="","",IF(G102="NEW ITEM","NEW ITEM - REVIEW",IF(E102&gt;G102+H102,"OVER BASELINE","OK")))</x:f>
      </x:c>
      <x:c r="L102" s="11"/>
    </x:row>
    <x:row r="103">
      <x:c r="A103" s="11"/>
      <x:c r="B103" s="11"/>
      <x:c r="C103" s="11"/>
      <x:c r="D103" s="16"/>
      <x:c r="E103" s="18"/>
      <x:c r="F103" s="18" t="str">
        <x:f>IF(OR(D103="",E103=""),"",D103*E103)</x:f>
      </x:c>
      <x:c r="G103" s="18" t="str">
        <x:f>IFERROR(XLOOKUP(A103,'Baseline Price List'!$A:$A,'Baseline Price List'!$E:$E),"NEW ITEM")</x:f>
        <x:v>NEW ITEM</x:v>
      </x:c>
      <x:c r="H103" s="18" t="n">
        <x:f>$O$2</x:f>
        <x:v>0</x:v>
      </x:c>
      <x:c r="I103" s="18" t="str">
        <x:f>IF(OR(E103="",G103="NEW ITEM"),"",E103-G103)</x:f>
      </x:c>
      <x:c r="J103" s="18" t="str">
        <x:f>IF(OR(I103="",D103=""),"",MAX(0,I103-H103)*D103)</x:f>
      </x:c>
      <x:c r="K103" s="11" t="str">
        <x:f>IF(A103="","",IF(G103="NEW ITEM","NEW ITEM - REVIEW",IF(E103&gt;G103+H103,"OVER BASELINE","OK")))</x:f>
      </x:c>
      <x:c r="L103" s="11"/>
    </x:row>
    <x:row r="104">
      <x:c r="A104" s="11"/>
      <x:c r="B104" s="11"/>
      <x:c r="C104" s="11"/>
      <x:c r="D104" s="16"/>
      <x:c r="E104" s="18"/>
      <x:c r="F104" s="18" t="str">
        <x:f>IF(OR(D104="",E104=""),"",D104*E104)</x:f>
      </x:c>
      <x:c r="G104" s="18" t="str">
        <x:f>IFERROR(XLOOKUP(A104,'Baseline Price List'!$A:$A,'Baseline Price List'!$E:$E),"NEW ITEM")</x:f>
        <x:v>NEW ITEM</x:v>
      </x:c>
      <x:c r="H104" s="18" t="n">
        <x:f>$O$2</x:f>
        <x:v>0</x:v>
      </x:c>
      <x:c r="I104" s="18" t="str">
        <x:f>IF(OR(E104="",G104="NEW ITEM"),"",E104-G104)</x:f>
      </x:c>
      <x:c r="J104" s="18" t="str">
        <x:f>IF(OR(I104="",D104=""),"",MAX(0,I104-H104)*D104)</x:f>
      </x:c>
      <x:c r="K104" s="11" t="str">
        <x:f>IF(A104="","",IF(G104="NEW ITEM","NEW ITEM - REVIEW",IF(E104&gt;G104+H104,"OVER BASELINE","OK")))</x:f>
      </x:c>
      <x:c r="L104" s="11"/>
    </x:row>
    <x:row r="105">
      <x:c r="A105" s="11"/>
      <x:c r="B105" s="11"/>
      <x:c r="C105" s="11"/>
      <x:c r="D105" s="16"/>
      <x:c r="E105" s="18"/>
      <x:c r="F105" s="18" t="str">
        <x:f>IF(OR(D105="",E105=""),"",D105*E105)</x:f>
      </x:c>
      <x:c r="G105" s="18" t="str">
        <x:f>IFERROR(XLOOKUP(A105,'Baseline Price List'!$A:$A,'Baseline Price List'!$E:$E),"NEW ITEM")</x:f>
        <x:v>NEW ITEM</x:v>
      </x:c>
      <x:c r="H105" s="18" t="n">
        <x:f>$O$2</x:f>
        <x:v>0</x:v>
      </x:c>
      <x:c r="I105" s="18" t="str">
        <x:f>IF(OR(E105="",G105="NEW ITEM"),"",E105-G105)</x:f>
      </x:c>
      <x:c r="J105" s="18" t="str">
        <x:f>IF(OR(I105="",D105=""),"",MAX(0,I105-H105)*D105)</x:f>
      </x:c>
      <x:c r="K105" s="11" t="str">
        <x:f>IF(A105="","",IF(G105="NEW ITEM","NEW ITEM - REVIEW",IF(E105&gt;G105+H105,"OVER BASELINE","OK")))</x:f>
      </x:c>
      <x:c r="L105" s="11"/>
    </x:row>
    <x:row r="106">
      <x:c r="A106" s="11"/>
      <x:c r="B106" s="11"/>
      <x:c r="C106" s="11"/>
      <x:c r="D106" s="16"/>
      <x:c r="E106" s="18"/>
      <x:c r="F106" s="18" t="str">
        <x:f>IF(OR(D106="",E106=""),"",D106*E106)</x:f>
      </x:c>
      <x:c r="G106" s="18" t="str">
        <x:f>IFERROR(XLOOKUP(A106,'Baseline Price List'!$A:$A,'Baseline Price List'!$E:$E),"NEW ITEM")</x:f>
        <x:v>NEW ITEM</x:v>
      </x:c>
      <x:c r="H106" s="18" t="n">
        <x:f>$O$2</x:f>
        <x:v>0</x:v>
      </x:c>
      <x:c r="I106" s="18" t="str">
        <x:f>IF(OR(E106="",G106="NEW ITEM"),"",E106-G106)</x:f>
      </x:c>
      <x:c r="J106" s="18" t="str">
        <x:f>IF(OR(I106="",D106=""),"",MAX(0,I106-H106)*D106)</x:f>
      </x:c>
      <x:c r="K106" s="11" t="str">
        <x:f>IF(A106="","",IF(G106="NEW ITEM","NEW ITEM - REVIEW",IF(E106&gt;G106+H106,"OVER BASELINE","OK")))</x:f>
      </x:c>
      <x:c r="L106" s="11"/>
    </x:row>
    <x:row r="107">
      <x:c r="A107" s="11"/>
      <x:c r="B107" s="11"/>
      <x:c r="C107" s="11"/>
      <x:c r="D107" s="16"/>
      <x:c r="E107" s="18"/>
      <x:c r="F107" s="18" t="str">
        <x:f>IF(OR(D107="",E107=""),"",D107*E107)</x:f>
      </x:c>
      <x:c r="G107" s="18" t="str">
        <x:f>IFERROR(XLOOKUP(A107,'Baseline Price List'!$A:$A,'Baseline Price List'!$E:$E),"NEW ITEM")</x:f>
        <x:v>NEW ITEM</x:v>
      </x:c>
      <x:c r="H107" s="18" t="n">
        <x:f>$O$2</x:f>
        <x:v>0</x:v>
      </x:c>
      <x:c r="I107" s="18" t="str">
        <x:f>IF(OR(E107="",G107="NEW ITEM"),"",E107-G107)</x:f>
      </x:c>
      <x:c r="J107" s="18" t="str">
        <x:f>IF(OR(I107="",D107=""),"",MAX(0,I107-H107)*D107)</x:f>
      </x:c>
      <x:c r="K107" s="11" t="str">
        <x:f>IF(A107="","",IF(G107="NEW ITEM","NEW ITEM - REVIEW",IF(E107&gt;G107+H107,"OVER BASELINE","OK")))</x:f>
      </x:c>
      <x:c r="L107" s="11"/>
    </x:row>
    <x:row r="108">
      <x:c r="A108" s="11"/>
      <x:c r="B108" s="11"/>
      <x:c r="C108" s="11"/>
      <x:c r="D108" s="16"/>
      <x:c r="E108" s="18"/>
      <x:c r="F108" s="18" t="str">
        <x:f>IF(OR(D108="",E108=""),"",D108*E108)</x:f>
      </x:c>
      <x:c r="G108" s="18" t="str">
        <x:f>IFERROR(XLOOKUP(A108,'Baseline Price List'!$A:$A,'Baseline Price List'!$E:$E),"NEW ITEM")</x:f>
        <x:v>NEW ITEM</x:v>
      </x:c>
      <x:c r="H108" s="18" t="n">
        <x:f>$O$2</x:f>
        <x:v>0</x:v>
      </x:c>
      <x:c r="I108" s="18" t="str">
        <x:f>IF(OR(E108="",G108="NEW ITEM"),"",E108-G108)</x:f>
      </x:c>
      <x:c r="J108" s="18" t="str">
        <x:f>IF(OR(I108="",D108=""),"",MAX(0,I108-H108)*D108)</x:f>
      </x:c>
      <x:c r="K108" s="11" t="str">
        <x:f>IF(A108="","",IF(G108="NEW ITEM","NEW ITEM - REVIEW",IF(E108&gt;G108+H108,"OVER BASELINE","OK")))</x:f>
      </x:c>
      <x:c r="L108" s="11"/>
    </x:row>
    <x:row r="109">
      <x:c r="A109" s="11"/>
      <x:c r="B109" s="11"/>
      <x:c r="C109" s="11"/>
      <x:c r="D109" s="16"/>
      <x:c r="E109" s="18"/>
      <x:c r="F109" s="18" t="str">
        <x:f>IF(OR(D109="",E109=""),"",D109*E109)</x:f>
      </x:c>
      <x:c r="G109" s="18" t="str">
        <x:f>IFERROR(XLOOKUP(A109,'Baseline Price List'!$A:$A,'Baseline Price List'!$E:$E),"NEW ITEM")</x:f>
        <x:v>NEW ITEM</x:v>
      </x:c>
      <x:c r="H109" s="18" t="n">
        <x:f>$O$2</x:f>
        <x:v>0</x:v>
      </x:c>
      <x:c r="I109" s="18" t="str">
        <x:f>IF(OR(E109="",G109="NEW ITEM"),"",E109-G109)</x:f>
      </x:c>
      <x:c r="J109" s="18" t="str">
        <x:f>IF(OR(I109="",D109=""),"",MAX(0,I109-H109)*D109)</x:f>
      </x:c>
      <x:c r="K109" s="11" t="str">
        <x:f>IF(A109="","",IF(G109="NEW ITEM","NEW ITEM - REVIEW",IF(E109&gt;G109+H109,"OVER BASELINE","OK")))</x:f>
      </x:c>
      <x:c r="L109" s="11"/>
    </x:row>
    <x:row r="110">
      <x:c r="A110" s="11"/>
      <x:c r="B110" s="11"/>
      <x:c r="C110" s="11"/>
      <x:c r="D110" s="16"/>
      <x:c r="E110" s="18"/>
      <x:c r="F110" s="18" t="str">
        <x:f>IF(OR(D110="",E110=""),"",D110*E110)</x:f>
      </x:c>
      <x:c r="G110" s="18" t="str">
        <x:f>IFERROR(XLOOKUP(A110,'Baseline Price List'!$A:$A,'Baseline Price List'!$E:$E),"NEW ITEM")</x:f>
        <x:v>NEW ITEM</x:v>
      </x:c>
      <x:c r="H110" s="18" t="n">
        <x:f>$O$2</x:f>
        <x:v>0</x:v>
      </x:c>
      <x:c r="I110" s="18" t="str">
        <x:f>IF(OR(E110="",G110="NEW ITEM"),"",E110-G110)</x:f>
      </x:c>
      <x:c r="J110" s="18" t="str">
        <x:f>IF(OR(I110="",D110=""),"",MAX(0,I110-H110)*D110)</x:f>
      </x:c>
      <x:c r="K110" s="11" t="str">
        <x:f>IF(A110="","",IF(G110="NEW ITEM","NEW ITEM - REVIEW",IF(E110&gt;G110+H110,"OVER BASELINE","OK")))</x:f>
      </x:c>
      <x:c r="L110" s="11"/>
    </x:row>
    <x:row r="111">
      <x:c r="A111" s="11"/>
      <x:c r="B111" s="11"/>
      <x:c r="C111" s="11"/>
      <x:c r="D111" s="16"/>
      <x:c r="E111" s="18"/>
      <x:c r="F111" s="18" t="str">
        <x:f>IF(OR(D111="",E111=""),"",D111*E111)</x:f>
      </x:c>
      <x:c r="G111" s="18" t="str">
        <x:f>IFERROR(XLOOKUP(A111,'Baseline Price List'!$A:$A,'Baseline Price List'!$E:$E),"NEW ITEM")</x:f>
        <x:v>NEW ITEM</x:v>
      </x:c>
      <x:c r="H111" s="18" t="n">
        <x:f>$O$2</x:f>
        <x:v>0</x:v>
      </x:c>
      <x:c r="I111" s="18" t="str">
        <x:f>IF(OR(E111="",G111="NEW ITEM"),"",E111-G111)</x:f>
      </x:c>
      <x:c r="J111" s="18" t="str">
        <x:f>IF(OR(I111="",D111=""),"",MAX(0,I111-H111)*D111)</x:f>
      </x:c>
      <x:c r="K111" s="11" t="str">
        <x:f>IF(A111="","",IF(G111="NEW ITEM","NEW ITEM - REVIEW",IF(E111&gt;G111+H111,"OVER BASELINE","OK")))</x:f>
      </x:c>
      <x:c r="L111" s="11"/>
    </x:row>
    <x:row r="112">
      <x:c r="A112" s="11"/>
      <x:c r="B112" s="11"/>
      <x:c r="C112" s="11"/>
      <x:c r="D112" s="16"/>
      <x:c r="E112" s="18"/>
      <x:c r="F112" s="18" t="str">
        <x:f>IF(OR(D112="",E112=""),"",D112*E112)</x:f>
      </x:c>
      <x:c r="G112" s="18" t="str">
        <x:f>IFERROR(XLOOKUP(A112,'Baseline Price List'!$A:$A,'Baseline Price List'!$E:$E),"NEW ITEM")</x:f>
        <x:v>NEW ITEM</x:v>
      </x:c>
      <x:c r="H112" s="18" t="n">
        <x:f>$O$2</x:f>
        <x:v>0</x:v>
      </x:c>
      <x:c r="I112" s="18" t="str">
        <x:f>IF(OR(E112="",G112="NEW ITEM"),"",E112-G112)</x:f>
      </x:c>
      <x:c r="J112" s="18" t="str">
        <x:f>IF(OR(I112="",D112=""),"",MAX(0,I112-H112)*D112)</x:f>
      </x:c>
      <x:c r="K112" s="11" t="str">
        <x:f>IF(A112="","",IF(G112="NEW ITEM","NEW ITEM - REVIEW",IF(E112&gt;G112+H112,"OVER BASELINE","OK")))</x:f>
      </x:c>
      <x:c r="L112" s="11"/>
    </x:row>
    <x:row r="113">
      <x:c r="A113" s="11"/>
      <x:c r="B113" s="11"/>
      <x:c r="C113" s="11"/>
      <x:c r="D113" s="16"/>
      <x:c r="E113" s="18"/>
      <x:c r="F113" s="18" t="str">
        <x:f>IF(OR(D113="",E113=""),"",D113*E113)</x:f>
      </x:c>
      <x:c r="G113" s="18" t="str">
        <x:f>IFERROR(XLOOKUP(A113,'Baseline Price List'!$A:$A,'Baseline Price List'!$E:$E),"NEW ITEM")</x:f>
        <x:v>NEW ITEM</x:v>
      </x:c>
      <x:c r="H113" s="18" t="n">
        <x:f>$O$2</x:f>
        <x:v>0</x:v>
      </x:c>
      <x:c r="I113" s="18" t="str">
        <x:f>IF(OR(E113="",G113="NEW ITEM"),"",E113-G113)</x:f>
      </x:c>
      <x:c r="J113" s="18" t="str">
        <x:f>IF(OR(I113="",D113=""),"",MAX(0,I113-H113)*D113)</x:f>
      </x:c>
      <x:c r="K113" s="11" t="str">
        <x:f>IF(A113="","",IF(G113="NEW ITEM","NEW ITEM - REVIEW",IF(E113&gt;G113+H113,"OVER BASELINE","OK")))</x:f>
      </x:c>
      <x:c r="L113" s="11"/>
    </x:row>
    <x:row r="114">
      <x:c r="A114" s="11"/>
      <x:c r="B114" s="11"/>
      <x:c r="C114" s="11"/>
      <x:c r="D114" s="16"/>
      <x:c r="E114" s="18"/>
      <x:c r="F114" s="18" t="str">
        <x:f>IF(OR(D114="",E114=""),"",D114*E114)</x:f>
      </x:c>
      <x:c r="G114" s="18" t="str">
        <x:f>IFERROR(XLOOKUP(A114,'Baseline Price List'!$A:$A,'Baseline Price List'!$E:$E),"NEW ITEM")</x:f>
        <x:v>NEW ITEM</x:v>
      </x:c>
      <x:c r="H114" s="18" t="n">
        <x:f>$O$2</x:f>
        <x:v>0</x:v>
      </x:c>
      <x:c r="I114" s="18" t="str">
        <x:f>IF(OR(E114="",G114="NEW ITEM"),"",E114-G114)</x:f>
      </x:c>
      <x:c r="J114" s="18" t="str">
        <x:f>IF(OR(I114="",D114=""),"",MAX(0,I114-H114)*D114)</x:f>
      </x:c>
      <x:c r="K114" s="11" t="str">
        <x:f>IF(A114="","",IF(G114="NEW ITEM","NEW ITEM - REVIEW",IF(E114&gt;G114+H114,"OVER BASELINE","OK")))</x:f>
      </x:c>
      <x:c r="L114" s="11"/>
    </x:row>
    <x:row r="115">
      <x:c r="A115" s="11"/>
      <x:c r="B115" s="11"/>
      <x:c r="C115" s="11"/>
      <x:c r="D115" s="16"/>
      <x:c r="E115" s="18"/>
      <x:c r="F115" s="18" t="str">
        <x:f>IF(OR(D115="",E115=""),"",D115*E115)</x:f>
      </x:c>
      <x:c r="G115" s="18" t="str">
        <x:f>IFERROR(XLOOKUP(A115,'Baseline Price List'!$A:$A,'Baseline Price List'!$E:$E),"NEW ITEM")</x:f>
        <x:v>NEW ITEM</x:v>
      </x:c>
      <x:c r="H115" s="18" t="n">
        <x:f>$O$2</x:f>
        <x:v>0</x:v>
      </x:c>
      <x:c r="I115" s="18" t="str">
        <x:f>IF(OR(E115="",G115="NEW ITEM"),"",E115-G115)</x:f>
      </x:c>
      <x:c r="J115" s="18" t="str">
        <x:f>IF(OR(I115="",D115=""),"",MAX(0,I115-H115)*D115)</x:f>
      </x:c>
      <x:c r="K115" s="11" t="str">
        <x:f>IF(A115="","",IF(G115="NEW ITEM","NEW ITEM - REVIEW",IF(E115&gt;G115+H115,"OVER BASELINE","OK")))</x:f>
      </x:c>
      <x:c r="L115" s="11"/>
    </x:row>
    <x:row r="116">
      <x:c r="A116" s="11"/>
      <x:c r="B116" s="11"/>
      <x:c r="C116" s="11"/>
      <x:c r="D116" s="16"/>
      <x:c r="E116" s="18"/>
      <x:c r="F116" s="18" t="str">
        <x:f>IF(OR(D116="",E116=""),"",D116*E116)</x:f>
      </x:c>
      <x:c r="G116" s="18" t="str">
        <x:f>IFERROR(XLOOKUP(A116,'Baseline Price List'!$A:$A,'Baseline Price List'!$E:$E),"NEW ITEM")</x:f>
        <x:v>NEW ITEM</x:v>
      </x:c>
      <x:c r="H116" s="18" t="n">
        <x:f>$O$2</x:f>
        <x:v>0</x:v>
      </x:c>
      <x:c r="I116" s="18" t="str">
        <x:f>IF(OR(E116="",G116="NEW ITEM"),"",E116-G116)</x:f>
      </x:c>
      <x:c r="J116" s="18" t="str">
        <x:f>IF(OR(I116="",D116=""),"",MAX(0,I116-H116)*D116)</x:f>
      </x:c>
      <x:c r="K116" s="11" t="str">
        <x:f>IF(A116="","",IF(G116="NEW ITEM","NEW ITEM - REVIEW",IF(E116&gt;G116+H116,"OVER BASELINE","OK")))</x:f>
      </x:c>
      <x:c r="L116" s="11"/>
    </x:row>
    <x:row r="117">
      <x:c r="A117" s="11"/>
      <x:c r="B117" s="11"/>
      <x:c r="C117" s="11"/>
      <x:c r="D117" s="16"/>
      <x:c r="E117" s="18"/>
      <x:c r="F117" s="18" t="str">
        <x:f>IF(OR(D117="",E117=""),"",D117*E117)</x:f>
      </x:c>
      <x:c r="G117" s="18" t="str">
        <x:f>IFERROR(XLOOKUP(A117,'Baseline Price List'!$A:$A,'Baseline Price List'!$E:$E),"NEW ITEM")</x:f>
        <x:v>NEW ITEM</x:v>
      </x:c>
      <x:c r="H117" s="18" t="n">
        <x:f>$O$2</x:f>
        <x:v>0</x:v>
      </x:c>
      <x:c r="I117" s="18" t="str">
        <x:f>IF(OR(E117="",G117="NEW ITEM"),"",E117-G117)</x:f>
      </x:c>
      <x:c r="J117" s="18" t="str">
        <x:f>IF(OR(I117="",D117=""),"",MAX(0,I117-H117)*D117)</x:f>
      </x:c>
      <x:c r="K117" s="11" t="str">
        <x:f>IF(A117="","",IF(G117="NEW ITEM","NEW ITEM - REVIEW",IF(E117&gt;G117+H117,"OVER BASELINE","OK")))</x:f>
      </x:c>
      <x:c r="L117" s="11"/>
    </x:row>
    <x:row r="118">
      <x:c r="A118" s="11"/>
      <x:c r="B118" s="11"/>
      <x:c r="C118" s="11"/>
      <x:c r="D118" s="16"/>
      <x:c r="E118" s="18"/>
      <x:c r="F118" s="18" t="str">
        <x:f>IF(OR(D118="",E118=""),"",D118*E118)</x:f>
      </x:c>
      <x:c r="G118" s="18" t="str">
        <x:f>IFERROR(XLOOKUP(A118,'Baseline Price List'!$A:$A,'Baseline Price List'!$E:$E),"NEW ITEM")</x:f>
        <x:v>NEW ITEM</x:v>
      </x:c>
      <x:c r="H118" s="18" t="n">
        <x:f>$O$2</x:f>
        <x:v>0</x:v>
      </x:c>
      <x:c r="I118" s="18" t="str">
        <x:f>IF(OR(E118="",G118="NEW ITEM"),"",E118-G118)</x:f>
      </x:c>
      <x:c r="J118" s="18" t="str">
        <x:f>IF(OR(I118="",D118=""),"",MAX(0,I118-H118)*D118)</x:f>
      </x:c>
      <x:c r="K118" s="11" t="str">
        <x:f>IF(A118="","",IF(G118="NEW ITEM","NEW ITEM - REVIEW",IF(E118&gt;G118+H118,"OVER BASELINE","OK")))</x:f>
      </x:c>
      <x:c r="L118" s="11"/>
    </x:row>
    <x:row r="119">
      <x:c r="A119" s="11"/>
      <x:c r="B119" s="11"/>
      <x:c r="C119" s="11"/>
      <x:c r="D119" s="16"/>
      <x:c r="E119" s="18"/>
      <x:c r="F119" s="18" t="str">
        <x:f>IF(OR(D119="",E119=""),"",D119*E119)</x:f>
      </x:c>
      <x:c r="G119" s="18" t="str">
        <x:f>IFERROR(XLOOKUP(A119,'Baseline Price List'!$A:$A,'Baseline Price List'!$E:$E),"NEW ITEM")</x:f>
        <x:v>NEW ITEM</x:v>
      </x:c>
      <x:c r="H119" s="18" t="n">
        <x:f>$O$2</x:f>
        <x:v>0</x:v>
      </x:c>
      <x:c r="I119" s="18" t="str">
        <x:f>IF(OR(E119="",G119="NEW ITEM"),"",E119-G119)</x:f>
      </x:c>
      <x:c r="J119" s="18" t="str">
        <x:f>IF(OR(I119="",D119=""),"",MAX(0,I119-H119)*D119)</x:f>
      </x:c>
      <x:c r="K119" s="11" t="str">
        <x:f>IF(A119="","",IF(G119="NEW ITEM","NEW ITEM - REVIEW",IF(E119&gt;G119+H119,"OVER BASELINE","OK")))</x:f>
      </x:c>
      <x:c r="L119" s="11"/>
    </x:row>
    <x:row r="120">
      <x:c r="A120" s="11"/>
      <x:c r="B120" s="11"/>
      <x:c r="C120" s="11"/>
      <x:c r="D120" s="16"/>
      <x:c r="E120" s="18"/>
      <x:c r="F120" s="18" t="str">
        <x:f>IF(OR(D120="",E120=""),"",D120*E120)</x:f>
      </x:c>
      <x:c r="G120" s="18" t="str">
        <x:f>IFERROR(XLOOKUP(A120,'Baseline Price List'!$A:$A,'Baseline Price List'!$E:$E),"NEW ITEM")</x:f>
        <x:v>NEW ITEM</x:v>
      </x:c>
      <x:c r="H120" s="18" t="n">
        <x:f>$O$2</x:f>
        <x:v>0</x:v>
      </x:c>
      <x:c r="I120" s="18" t="str">
        <x:f>IF(OR(E120="",G120="NEW ITEM"),"",E120-G120)</x:f>
      </x:c>
      <x:c r="J120" s="18" t="str">
        <x:f>IF(OR(I120="",D120=""),"",MAX(0,I120-H120)*D120)</x:f>
      </x:c>
      <x:c r="K120" s="11" t="str">
        <x:f>IF(A120="","",IF(G120="NEW ITEM","NEW ITEM - REVIEW",IF(E120&gt;G120+H120,"OVER BASELINE","OK")))</x:f>
      </x:c>
      <x:c r="L120" s="11"/>
    </x:row>
    <x:row r="121">
      <x:c r="A121" s="11"/>
      <x:c r="B121" s="11"/>
      <x:c r="C121" s="11"/>
      <x:c r="D121" s="16"/>
      <x:c r="E121" s="18"/>
      <x:c r="F121" s="18" t="str">
        <x:f>IF(OR(D121="",E121=""),"",D121*E121)</x:f>
      </x:c>
      <x:c r="G121" s="18" t="str">
        <x:f>IFERROR(XLOOKUP(A121,'Baseline Price List'!$A:$A,'Baseline Price List'!$E:$E),"NEW ITEM")</x:f>
        <x:v>NEW ITEM</x:v>
      </x:c>
      <x:c r="H121" s="18" t="n">
        <x:f>$O$2</x:f>
        <x:v>0</x:v>
      </x:c>
      <x:c r="I121" s="18" t="str">
        <x:f>IF(OR(E121="",G121="NEW ITEM"),"",E121-G121)</x:f>
      </x:c>
      <x:c r="J121" s="18" t="str">
        <x:f>IF(OR(I121="",D121=""),"",MAX(0,I121-H121)*D121)</x:f>
      </x:c>
      <x:c r="K121" s="11" t="str">
        <x:f>IF(A121="","",IF(G121="NEW ITEM","NEW ITEM - REVIEW",IF(E121&gt;G121+H121,"OVER BASELINE","OK")))</x:f>
      </x:c>
      <x:c r="L121" s="11"/>
    </x:row>
    <x:row r="122">
      <x:c r="A122" s="11"/>
      <x:c r="B122" s="11"/>
      <x:c r="C122" s="11"/>
      <x:c r="D122" s="16"/>
      <x:c r="E122" s="18"/>
      <x:c r="F122" s="18" t="str">
        <x:f>IF(OR(D122="",E122=""),"",D122*E122)</x:f>
      </x:c>
      <x:c r="G122" s="18" t="str">
        <x:f>IFERROR(XLOOKUP(A122,'Baseline Price List'!$A:$A,'Baseline Price List'!$E:$E),"NEW ITEM")</x:f>
        <x:v>NEW ITEM</x:v>
      </x:c>
      <x:c r="H122" s="18" t="n">
        <x:f>$O$2</x:f>
        <x:v>0</x:v>
      </x:c>
      <x:c r="I122" s="18" t="str">
        <x:f>IF(OR(E122="",G122="NEW ITEM"),"",E122-G122)</x:f>
      </x:c>
      <x:c r="J122" s="18" t="str">
        <x:f>IF(OR(I122="",D122=""),"",MAX(0,I122-H122)*D122)</x:f>
      </x:c>
      <x:c r="K122" s="11" t="str">
        <x:f>IF(A122="","",IF(G122="NEW ITEM","NEW ITEM - REVIEW",IF(E122&gt;G122+H122,"OVER BASELINE","OK")))</x:f>
      </x:c>
      <x:c r="L122" s="11"/>
    </x:row>
    <x:row r="123">
      <x:c r="A123" s="11"/>
      <x:c r="B123" s="11"/>
      <x:c r="C123" s="11"/>
      <x:c r="D123" s="16"/>
      <x:c r="E123" s="18"/>
      <x:c r="F123" s="18" t="str">
        <x:f>IF(OR(D123="",E123=""),"",D123*E123)</x:f>
      </x:c>
      <x:c r="G123" s="18" t="str">
        <x:f>IFERROR(XLOOKUP(A123,'Baseline Price List'!$A:$A,'Baseline Price List'!$E:$E),"NEW ITEM")</x:f>
        <x:v>NEW ITEM</x:v>
      </x:c>
      <x:c r="H123" s="18" t="n">
        <x:f>$O$2</x:f>
        <x:v>0</x:v>
      </x:c>
      <x:c r="I123" s="18" t="str">
        <x:f>IF(OR(E123="",G123="NEW ITEM"),"",E123-G123)</x:f>
      </x:c>
      <x:c r="J123" s="18" t="str">
        <x:f>IF(OR(I123="",D123=""),"",MAX(0,I123-H123)*D123)</x:f>
      </x:c>
      <x:c r="K123" s="11" t="str">
        <x:f>IF(A123="","",IF(G123="NEW ITEM","NEW ITEM - REVIEW",IF(E123&gt;G123+H123,"OVER BASELINE","OK")))</x:f>
      </x:c>
      <x:c r="L123" s="11"/>
    </x:row>
    <x:row r="124">
      <x:c r="A124" s="11"/>
      <x:c r="B124" s="11"/>
      <x:c r="C124" s="11"/>
      <x:c r="D124" s="16"/>
      <x:c r="E124" s="18"/>
      <x:c r="F124" s="18" t="str">
        <x:f>IF(OR(D124="",E124=""),"",D124*E124)</x:f>
      </x:c>
      <x:c r="G124" s="18" t="str">
        <x:f>IFERROR(XLOOKUP(A124,'Baseline Price List'!$A:$A,'Baseline Price List'!$E:$E),"NEW ITEM")</x:f>
        <x:v>NEW ITEM</x:v>
      </x:c>
      <x:c r="H124" s="18" t="n">
        <x:f>$O$2</x:f>
        <x:v>0</x:v>
      </x:c>
      <x:c r="I124" s="18" t="str">
        <x:f>IF(OR(E124="",G124="NEW ITEM"),"",E124-G124)</x:f>
      </x:c>
      <x:c r="J124" s="18" t="str">
        <x:f>IF(OR(I124="",D124=""),"",MAX(0,I124-H124)*D124)</x:f>
      </x:c>
      <x:c r="K124" s="11" t="str">
        <x:f>IF(A124="","",IF(G124="NEW ITEM","NEW ITEM - REVIEW",IF(E124&gt;G124+H124,"OVER BASELINE","OK")))</x:f>
      </x:c>
      <x:c r="L124" s="11"/>
    </x:row>
    <x:row r="125">
      <x:c r="A125" s="11"/>
      <x:c r="B125" s="11"/>
      <x:c r="C125" s="11"/>
      <x:c r="D125" s="16"/>
      <x:c r="E125" s="18"/>
      <x:c r="F125" s="18" t="str">
        <x:f>IF(OR(D125="",E125=""),"",D125*E125)</x:f>
      </x:c>
      <x:c r="G125" s="18" t="str">
        <x:f>IFERROR(XLOOKUP(A125,'Baseline Price List'!$A:$A,'Baseline Price List'!$E:$E),"NEW ITEM")</x:f>
        <x:v>NEW ITEM</x:v>
      </x:c>
      <x:c r="H125" s="18" t="n">
        <x:f>$O$2</x:f>
        <x:v>0</x:v>
      </x:c>
      <x:c r="I125" s="18" t="str">
        <x:f>IF(OR(E125="",G125="NEW ITEM"),"",E125-G125)</x:f>
      </x:c>
      <x:c r="J125" s="18" t="str">
        <x:f>IF(OR(I125="",D125=""),"",MAX(0,I125-H125)*D125)</x:f>
      </x:c>
      <x:c r="K125" s="11" t="str">
        <x:f>IF(A125="","",IF(G125="NEW ITEM","NEW ITEM - REVIEW",IF(E125&gt;G125+H125,"OVER BASELINE","OK")))</x:f>
      </x:c>
      <x:c r="L125" s="11"/>
    </x:row>
    <x:row r="126">
      <x:c r="A126" s="11"/>
      <x:c r="B126" s="11"/>
      <x:c r="C126" s="11"/>
      <x:c r="D126" s="16"/>
      <x:c r="E126" s="18"/>
      <x:c r="F126" s="18" t="str">
        <x:f>IF(OR(D126="",E126=""),"",D126*E126)</x:f>
      </x:c>
      <x:c r="G126" s="18" t="str">
        <x:f>IFERROR(XLOOKUP(A126,'Baseline Price List'!$A:$A,'Baseline Price List'!$E:$E),"NEW ITEM")</x:f>
        <x:v>NEW ITEM</x:v>
      </x:c>
      <x:c r="H126" s="18" t="n">
        <x:f>$O$2</x:f>
        <x:v>0</x:v>
      </x:c>
      <x:c r="I126" s="18" t="str">
        <x:f>IF(OR(E126="",G126="NEW ITEM"),"",E126-G126)</x:f>
      </x:c>
      <x:c r="J126" s="18" t="str">
        <x:f>IF(OR(I126="",D126=""),"",MAX(0,I126-H126)*D126)</x:f>
      </x:c>
      <x:c r="K126" s="11" t="str">
        <x:f>IF(A126="","",IF(G126="NEW ITEM","NEW ITEM - REVIEW",IF(E126&gt;G126+H126,"OVER BASELINE","OK")))</x:f>
      </x:c>
      <x:c r="L126" s="11"/>
    </x:row>
    <x:row r="127">
      <x:c r="A127" s="11"/>
      <x:c r="B127" s="11"/>
      <x:c r="C127" s="11"/>
      <x:c r="D127" s="16"/>
      <x:c r="E127" s="18"/>
      <x:c r="F127" s="18" t="str">
        <x:f>IF(OR(D127="",E127=""),"",D127*E127)</x:f>
      </x:c>
      <x:c r="G127" s="18" t="str">
        <x:f>IFERROR(XLOOKUP(A127,'Baseline Price List'!$A:$A,'Baseline Price List'!$E:$E),"NEW ITEM")</x:f>
        <x:v>NEW ITEM</x:v>
      </x:c>
      <x:c r="H127" s="18" t="n">
        <x:f>$O$2</x:f>
        <x:v>0</x:v>
      </x:c>
      <x:c r="I127" s="18" t="str">
        <x:f>IF(OR(E127="",G127="NEW ITEM"),"",E127-G127)</x:f>
      </x:c>
      <x:c r="J127" s="18" t="str">
        <x:f>IF(OR(I127="",D127=""),"",MAX(0,I127-H127)*D127)</x:f>
      </x:c>
      <x:c r="K127" s="11" t="str">
        <x:f>IF(A127="","",IF(G127="NEW ITEM","NEW ITEM - REVIEW",IF(E127&gt;G127+H127,"OVER BASELINE","OK")))</x:f>
      </x:c>
      <x:c r="L127" s="11"/>
    </x:row>
    <x:row r="128">
      <x:c r="A128" s="11"/>
      <x:c r="B128" s="11"/>
      <x:c r="C128" s="11"/>
      <x:c r="D128" s="16"/>
      <x:c r="E128" s="18"/>
      <x:c r="F128" s="18" t="str">
        <x:f>IF(OR(D128="",E128=""),"",D128*E128)</x:f>
      </x:c>
      <x:c r="G128" s="18" t="str">
        <x:f>IFERROR(XLOOKUP(A128,'Baseline Price List'!$A:$A,'Baseline Price List'!$E:$E),"NEW ITEM")</x:f>
        <x:v>NEW ITEM</x:v>
      </x:c>
      <x:c r="H128" s="18" t="n">
        <x:f>$O$2</x:f>
        <x:v>0</x:v>
      </x:c>
      <x:c r="I128" s="18" t="str">
        <x:f>IF(OR(E128="",G128="NEW ITEM"),"",E128-G128)</x:f>
      </x:c>
      <x:c r="J128" s="18" t="str">
        <x:f>IF(OR(I128="",D128=""),"",MAX(0,I128-H128)*D128)</x:f>
      </x:c>
      <x:c r="K128" s="11" t="str">
        <x:f>IF(A128="","",IF(G128="NEW ITEM","NEW ITEM - REVIEW",IF(E128&gt;G128+H128,"OVER BASELINE","OK")))</x:f>
      </x:c>
      <x:c r="L128" s="11"/>
    </x:row>
    <x:row r="129">
      <x:c r="A129" s="11"/>
      <x:c r="B129" s="11"/>
      <x:c r="C129" s="11"/>
      <x:c r="D129" s="16"/>
      <x:c r="E129" s="18"/>
      <x:c r="F129" s="18" t="str">
        <x:f>IF(OR(D129="",E129=""),"",D129*E129)</x:f>
      </x:c>
      <x:c r="G129" s="18" t="str">
        <x:f>IFERROR(XLOOKUP(A129,'Baseline Price List'!$A:$A,'Baseline Price List'!$E:$E),"NEW ITEM")</x:f>
        <x:v>NEW ITEM</x:v>
      </x:c>
      <x:c r="H129" s="18" t="n">
        <x:f>$O$2</x:f>
        <x:v>0</x:v>
      </x:c>
      <x:c r="I129" s="18" t="str">
        <x:f>IF(OR(E129="",G129="NEW ITEM"),"",E129-G129)</x:f>
      </x:c>
      <x:c r="J129" s="18" t="str">
        <x:f>IF(OR(I129="",D129=""),"",MAX(0,I129-H129)*D129)</x:f>
      </x:c>
      <x:c r="K129" s="11" t="str">
        <x:f>IF(A129="","",IF(G129="NEW ITEM","NEW ITEM - REVIEW",IF(E129&gt;G129+H129,"OVER BASELINE","OK")))</x:f>
      </x:c>
      <x:c r="L129" s="11"/>
    </x:row>
    <x:row r="130">
      <x:c r="A130" s="11"/>
      <x:c r="B130" s="11"/>
      <x:c r="C130" s="11"/>
      <x:c r="D130" s="16"/>
      <x:c r="E130" s="18"/>
      <x:c r="F130" s="18" t="str">
        <x:f>IF(OR(D130="",E130=""),"",D130*E130)</x:f>
      </x:c>
      <x:c r="G130" s="18" t="str">
        <x:f>IFERROR(XLOOKUP(A130,'Baseline Price List'!$A:$A,'Baseline Price List'!$E:$E),"NEW ITEM")</x:f>
        <x:v>NEW ITEM</x:v>
      </x:c>
      <x:c r="H130" s="18" t="n">
        <x:f>$O$2</x:f>
        <x:v>0</x:v>
      </x:c>
      <x:c r="I130" s="18" t="str">
        <x:f>IF(OR(E130="",G130="NEW ITEM"),"",E130-G130)</x:f>
      </x:c>
      <x:c r="J130" s="18" t="str">
        <x:f>IF(OR(I130="",D130=""),"",MAX(0,I130-H130)*D130)</x:f>
      </x:c>
      <x:c r="K130" s="11" t="str">
        <x:f>IF(A130="","",IF(G130="NEW ITEM","NEW ITEM - REVIEW",IF(E130&gt;G130+H130,"OVER BASELINE","OK")))</x:f>
      </x:c>
      <x:c r="L130" s="11"/>
    </x:row>
    <x:row r="131">
      <x:c r="A131" s="11"/>
      <x:c r="B131" s="11"/>
      <x:c r="C131" s="11"/>
      <x:c r="D131" s="16"/>
      <x:c r="E131" s="18"/>
      <x:c r="F131" s="18" t="str">
        <x:f>IF(OR(D131="",E131=""),"",D131*E131)</x:f>
      </x:c>
      <x:c r="G131" s="18" t="str">
        <x:f>IFERROR(XLOOKUP(A131,'Baseline Price List'!$A:$A,'Baseline Price List'!$E:$E),"NEW ITEM")</x:f>
        <x:v>NEW ITEM</x:v>
      </x:c>
      <x:c r="H131" s="18" t="n">
        <x:f>$O$2</x:f>
        <x:v>0</x:v>
      </x:c>
      <x:c r="I131" s="18" t="str">
        <x:f>IF(OR(E131="",G131="NEW ITEM"),"",E131-G131)</x:f>
      </x:c>
      <x:c r="J131" s="18" t="str">
        <x:f>IF(OR(I131="",D131=""),"",MAX(0,I131-H131)*D131)</x:f>
      </x:c>
      <x:c r="K131" s="11" t="str">
        <x:f>IF(A131="","",IF(G131="NEW ITEM","NEW ITEM - REVIEW",IF(E131&gt;G131+H131,"OVER BASELINE","OK")))</x:f>
      </x:c>
      <x:c r="L131" s="11"/>
    </x:row>
    <x:row r="132">
      <x:c r="A132" s="11"/>
      <x:c r="B132" s="11"/>
      <x:c r="C132" s="11"/>
      <x:c r="D132" s="16"/>
      <x:c r="E132" s="18"/>
      <x:c r="F132" s="18" t="str">
        <x:f>IF(OR(D132="",E132=""),"",D132*E132)</x:f>
      </x:c>
      <x:c r="G132" s="18" t="str">
        <x:f>IFERROR(XLOOKUP(A132,'Baseline Price List'!$A:$A,'Baseline Price List'!$E:$E),"NEW ITEM")</x:f>
        <x:v>NEW ITEM</x:v>
      </x:c>
      <x:c r="H132" s="18" t="n">
        <x:f>$O$2</x:f>
        <x:v>0</x:v>
      </x:c>
      <x:c r="I132" s="18" t="str">
        <x:f>IF(OR(E132="",G132="NEW ITEM"),"",E132-G132)</x:f>
      </x:c>
      <x:c r="J132" s="18" t="str">
        <x:f>IF(OR(I132="",D132=""),"",MAX(0,I132-H132)*D132)</x:f>
      </x:c>
      <x:c r="K132" s="11" t="str">
        <x:f>IF(A132="","",IF(G132="NEW ITEM","NEW ITEM - REVIEW",IF(E132&gt;G132+H132,"OVER BASELINE","OK")))</x:f>
      </x:c>
      <x:c r="L132" s="11"/>
    </x:row>
    <x:row r="133">
      <x:c r="A133" s="11"/>
      <x:c r="B133" s="11"/>
      <x:c r="C133" s="11"/>
      <x:c r="D133" s="16"/>
      <x:c r="E133" s="18"/>
      <x:c r="F133" s="18" t="str">
        <x:f>IF(OR(D133="",E133=""),"",D133*E133)</x:f>
      </x:c>
      <x:c r="G133" s="18" t="str">
        <x:f>IFERROR(XLOOKUP(A133,'Baseline Price List'!$A:$A,'Baseline Price List'!$E:$E),"NEW ITEM")</x:f>
        <x:v>NEW ITEM</x:v>
      </x:c>
      <x:c r="H133" s="18" t="n">
        <x:f>$O$2</x:f>
        <x:v>0</x:v>
      </x:c>
      <x:c r="I133" s="18" t="str">
        <x:f>IF(OR(E133="",G133="NEW ITEM"),"",E133-G133)</x:f>
      </x:c>
      <x:c r="J133" s="18" t="str">
        <x:f>IF(OR(I133="",D133=""),"",MAX(0,I133-H133)*D133)</x:f>
      </x:c>
      <x:c r="K133" s="11" t="str">
        <x:f>IF(A133="","",IF(G133="NEW ITEM","NEW ITEM - REVIEW",IF(E133&gt;G133+H133,"OVER BASELINE","OK")))</x:f>
      </x:c>
      <x:c r="L133" s="11"/>
    </x:row>
    <x:row r="134">
      <x:c r="A134" s="11"/>
      <x:c r="B134" s="11"/>
      <x:c r="C134" s="11"/>
      <x:c r="D134" s="16"/>
      <x:c r="E134" s="18"/>
      <x:c r="F134" s="18" t="str">
        <x:f>IF(OR(D134="",E134=""),"",D134*E134)</x:f>
      </x:c>
      <x:c r="G134" s="18" t="str">
        <x:f>IFERROR(XLOOKUP(A134,'Baseline Price List'!$A:$A,'Baseline Price List'!$E:$E),"NEW ITEM")</x:f>
        <x:v>NEW ITEM</x:v>
      </x:c>
      <x:c r="H134" s="18" t="n">
        <x:f>$O$2</x:f>
        <x:v>0</x:v>
      </x:c>
      <x:c r="I134" s="18" t="str">
        <x:f>IF(OR(E134="",G134="NEW ITEM"),"",E134-G134)</x:f>
      </x:c>
      <x:c r="J134" s="18" t="str">
        <x:f>IF(OR(I134="",D134=""),"",MAX(0,I134-H134)*D134)</x:f>
      </x:c>
      <x:c r="K134" s="11" t="str">
        <x:f>IF(A134="","",IF(G134="NEW ITEM","NEW ITEM - REVIEW",IF(E134&gt;G134+H134,"OVER BASELINE","OK")))</x:f>
      </x:c>
      <x:c r="L134" s="11"/>
    </x:row>
    <x:row r="135">
      <x:c r="A135" s="11"/>
      <x:c r="B135" s="11"/>
      <x:c r="C135" s="11"/>
      <x:c r="D135" s="16"/>
      <x:c r="E135" s="18"/>
      <x:c r="F135" s="18" t="str">
        <x:f>IF(OR(D135="",E135=""),"",D135*E135)</x:f>
      </x:c>
      <x:c r="G135" s="18" t="str">
        <x:f>IFERROR(XLOOKUP(A135,'Baseline Price List'!$A:$A,'Baseline Price List'!$E:$E),"NEW ITEM")</x:f>
        <x:v>NEW ITEM</x:v>
      </x:c>
      <x:c r="H135" s="18" t="n">
        <x:f>$O$2</x:f>
        <x:v>0</x:v>
      </x:c>
      <x:c r="I135" s="18" t="str">
        <x:f>IF(OR(E135="",G135="NEW ITEM"),"",E135-G135)</x:f>
      </x:c>
      <x:c r="J135" s="18" t="str">
        <x:f>IF(OR(I135="",D135=""),"",MAX(0,I135-H135)*D135)</x:f>
      </x:c>
      <x:c r="K135" s="11" t="str">
        <x:f>IF(A135="","",IF(G135="NEW ITEM","NEW ITEM - REVIEW",IF(E135&gt;G135+H135,"OVER BASELINE","OK")))</x:f>
      </x:c>
      <x:c r="L135" s="11"/>
    </x:row>
    <x:row r="136">
      <x:c r="A136" s="11"/>
      <x:c r="B136" s="11"/>
      <x:c r="C136" s="11"/>
      <x:c r="D136" s="16"/>
      <x:c r="E136" s="18"/>
      <x:c r="F136" s="18" t="str">
        <x:f>IF(OR(D136="",E136=""),"",D136*E136)</x:f>
      </x:c>
      <x:c r="G136" s="18" t="str">
        <x:f>IFERROR(XLOOKUP(A136,'Baseline Price List'!$A:$A,'Baseline Price List'!$E:$E),"NEW ITEM")</x:f>
        <x:v>NEW ITEM</x:v>
      </x:c>
      <x:c r="H136" s="18" t="n">
        <x:f>$O$2</x:f>
        <x:v>0</x:v>
      </x:c>
      <x:c r="I136" s="18" t="str">
        <x:f>IF(OR(E136="",G136="NEW ITEM"),"",E136-G136)</x:f>
      </x:c>
      <x:c r="J136" s="18" t="str">
        <x:f>IF(OR(I136="",D136=""),"",MAX(0,I136-H136)*D136)</x:f>
      </x:c>
      <x:c r="K136" s="11" t="str">
        <x:f>IF(A136="","",IF(G136="NEW ITEM","NEW ITEM - REVIEW",IF(E136&gt;G136+H136,"OVER BASELINE","OK")))</x:f>
      </x:c>
      <x:c r="L136" s="11"/>
    </x:row>
    <x:row r="137">
      <x:c r="A137" s="11"/>
      <x:c r="B137" s="11"/>
      <x:c r="C137" s="11"/>
      <x:c r="D137" s="16"/>
      <x:c r="E137" s="18"/>
      <x:c r="F137" s="18" t="str">
        <x:f>IF(OR(D137="",E137=""),"",D137*E137)</x:f>
      </x:c>
      <x:c r="G137" s="18" t="str">
        <x:f>IFERROR(XLOOKUP(A137,'Baseline Price List'!$A:$A,'Baseline Price List'!$E:$E),"NEW ITEM")</x:f>
        <x:v>NEW ITEM</x:v>
      </x:c>
      <x:c r="H137" s="18" t="n">
        <x:f>$O$2</x:f>
        <x:v>0</x:v>
      </x:c>
      <x:c r="I137" s="18" t="str">
        <x:f>IF(OR(E137="",G137="NEW ITEM"),"",E137-G137)</x:f>
      </x:c>
      <x:c r="J137" s="18" t="str">
        <x:f>IF(OR(I137="",D137=""),"",MAX(0,I137-H137)*D137)</x:f>
      </x:c>
      <x:c r="K137" s="11" t="str">
        <x:f>IF(A137="","",IF(G137="NEW ITEM","NEW ITEM - REVIEW",IF(E137&gt;G137+H137,"OVER BASELINE","OK")))</x:f>
      </x:c>
      <x:c r="L137" s="11"/>
    </x:row>
    <x:row r="138">
      <x:c r="A138" s="11"/>
      <x:c r="B138" s="11"/>
      <x:c r="C138" s="11"/>
      <x:c r="D138" s="16"/>
      <x:c r="E138" s="18"/>
      <x:c r="F138" s="18" t="str">
        <x:f>IF(OR(D138="",E138=""),"",D138*E138)</x:f>
      </x:c>
      <x:c r="G138" s="18" t="str">
        <x:f>IFERROR(XLOOKUP(A138,'Baseline Price List'!$A:$A,'Baseline Price List'!$E:$E),"NEW ITEM")</x:f>
        <x:v>NEW ITEM</x:v>
      </x:c>
      <x:c r="H138" s="18" t="n">
        <x:f>$O$2</x:f>
        <x:v>0</x:v>
      </x:c>
      <x:c r="I138" s="18" t="str">
        <x:f>IF(OR(E138="",G138="NEW ITEM"),"",E138-G138)</x:f>
      </x:c>
      <x:c r="J138" s="18" t="str">
        <x:f>IF(OR(I138="",D138=""),"",MAX(0,I138-H138)*D138)</x:f>
      </x:c>
      <x:c r="K138" s="11" t="str">
        <x:f>IF(A138="","",IF(G138="NEW ITEM","NEW ITEM - REVIEW",IF(E138&gt;G138+H138,"OVER BASELINE","OK")))</x:f>
      </x:c>
      <x:c r="L138" s="11"/>
    </x:row>
    <x:row r="139">
      <x:c r="A139" s="11"/>
      <x:c r="B139" s="11"/>
      <x:c r="C139" s="11"/>
      <x:c r="D139" s="16"/>
      <x:c r="E139" s="18"/>
      <x:c r="F139" s="18" t="str">
        <x:f>IF(OR(D139="",E139=""),"",D139*E139)</x:f>
      </x:c>
      <x:c r="G139" s="18" t="str">
        <x:f>IFERROR(XLOOKUP(A139,'Baseline Price List'!$A:$A,'Baseline Price List'!$E:$E),"NEW ITEM")</x:f>
        <x:v>NEW ITEM</x:v>
      </x:c>
      <x:c r="H139" s="18" t="n">
        <x:f>$O$2</x:f>
        <x:v>0</x:v>
      </x:c>
      <x:c r="I139" s="18" t="str">
        <x:f>IF(OR(E139="",G139="NEW ITEM"),"",E139-G139)</x:f>
      </x:c>
      <x:c r="J139" s="18" t="str">
        <x:f>IF(OR(I139="",D139=""),"",MAX(0,I139-H139)*D139)</x:f>
      </x:c>
      <x:c r="K139" s="11" t="str">
        <x:f>IF(A139="","",IF(G139="NEW ITEM","NEW ITEM - REVIEW",IF(E139&gt;G139+H139,"OVER BASELINE","OK")))</x:f>
      </x:c>
      <x:c r="L139" s="11"/>
    </x:row>
    <x:row r="140">
      <x:c r="A140" s="11"/>
      <x:c r="B140" s="11"/>
      <x:c r="C140" s="11"/>
      <x:c r="D140" s="16"/>
      <x:c r="E140" s="18"/>
      <x:c r="F140" s="18" t="str">
        <x:f>IF(OR(D140="",E140=""),"",D140*E140)</x:f>
      </x:c>
      <x:c r="G140" s="18" t="str">
        <x:f>IFERROR(XLOOKUP(A140,'Baseline Price List'!$A:$A,'Baseline Price List'!$E:$E),"NEW ITEM")</x:f>
        <x:v>NEW ITEM</x:v>
      </x:c>
      <x:c r="H140" s="18" t="n">
        <x:f>$O$2</x:f>
        <x:v>0</x:v>
      </x:c>
      <x:c r="I140" s="18" t="str">
        <x:f>IF(OR(E140="",G140="NEW ITEM"),"",E140-G140)</x:f>
      </x:c>
      <x:c r="J140" s="18" t="str">
        <x:f>IF(OR(I140="",D140=""),"",MAX(0,I140-H140)*D140)</x:f>
      </x:c>
      <x:c r="K140" s="11" t="str">
        <x:f>IF(A140="","",IF(G140="NEW ITEM","NEW ITEM - REVIEW",IF(E140&gt;G140+H140,"OVER BASELINE","OK")))</x:f>
      </x:c>
      <x:c r="L140" s="11"/>
    </x:row>
    <x:row r="141">
      <x:c r="A141" s="11"/>
      <x:c r="B141" s="11"/>
      <x:c r="C141" s="11"/>
      <x:c r="D141" s="16"/>
      <x:c r="E141" s="18"/>
      <x:c r="F141" s="18" t="str">
        <x:f>IF(OR(D141="",E141=""),"",D141*E141)</x:f>
      </x:c>
      <x:c r="G141" s="18" t="str">
        <x:f>IFERROR(XLOOKUP(A141,'Baseline Price List'!$A:$A,'Baseline Price List'!$E:$E),"NEW ITEM")</x:f>
        <x:v>NEW ITEM</x:v>
      </x:c>
      <x:c r="H141" s="18" t="n">
        <x:f>$O$2</x:f>
        <x:v>0</x:v>
      </x:c>
      <x:c r="I141" s="18" t="str">
        <x:f>IF(OR(E141="",G141="NEW ITEM"),"",E141-G141)</x:f>
      </x:c>
      <x:c r="J141" s="18" t="str">
        <x:f>IF(OR(I141="",D141=""),"",MAX(0,I141-H141)*D141)</x:f>
      </x:c>
      <x:c r="K141" s="11" t="str">
        <x:f>IF(A141="","",IF(G141="NEW ITEM","NEW ITEM - REVIEW",IF(E141&gt;G141+H141,"OVER BASELINE","OK")))</x:f>
      </x:c>
      <x:c r="L141" s="11"/>
    </x:row>
    <x:row r="142">
      <x:c r="A142" s="11"/>
      <x:c r="B142" s="11"/>
      <x:c r="C142" s="11"/>
      <x:c r="D142" s="16"/>
      <x:c r="E142" s="18"/>
      <x:c r="F142" s="18" t="str">
        <x:f>IF(OR(D142="",E142=""),"",D142*E142)</x:f>
      </x:c>
      <x:c r="G142" s="18" t="str">
        <x:f>IFERROR(XLOOKUP(A142,'Baseline Price List'!$A:$A,'Baseline Price List'!$E:$E),"NEW ITEM")</x:f>
        <x:v>NEW ITEM</x:v>
      </x:c>
      <x:c r="H142" s="18" t="n">
        <x:f>$O$2</x:f>
        <x:v>0</x:v>
      </x:c>
      <x:c r="I142" s="18" t="str">
        <x:f>IF(OR(E142="",G142="NEW ITEM"),"",E142-G142)</x:f>
      </x:c>
      <x:c r="J142" s="18" t="str">
        <x:f>IF(OR(I142="",D142=""),"",MAX(0,I142-H142)*D142)</x:f>
      </x:c>
      <x:c r="K142" s="11" t="str">
        <x:f>IF(A142="","",IF(G142="NEW ITEM","NEW ITEM - REVIEW",IF(E142&gt;G142+H142,"OVER BASELINE","OK")))</x:f>
      </x:c>
      <x:c r="L142" s="11"/>
    </x:row>
    <x:row r="143">
      <x:c r="A143" s="11"/>
      <x:c r="B143" s="11"/>
      <x:c r="C143" s="11"/>
      <x:c r="D143" s="16"/>
      <x:c r="E143" s="18"/>
      <x:c r="F143" s="18" t="str">
        <x:f>IF(OR(D143="",E143=""),"",D143*E143)</x:f>
      </x:c>
      <x:c r="G143" s="18" t="str">
        <x:f>IFERROR(XLOOKUP(A143,'Baseline Price List'!$A:$A,'Baseline Price List'!$E:$E),"NEW ITEM")</x:f>
        <x:v>NEW ITEM</x:v>
      </x:c>
      <x:c r="H143" s="18" t="n">
        <x:f>$O$2</x:f>
        <x:v>0</x:v>
      </x:c>
      <x:c r="I143" s="18" t="str">
        <x:f>IF(OR(E143="",G143="NEW ITEM"),"",E143-G143)</x:f>
      </x:c>
      <x:c r="J143" s="18" t="str">
        <x:f>IF(OR(I143="",D143=""),"",MAX(0,I143-H143)*D143)</x:f>
      </x:c>
      <x:c r="K143" s="11" t="str">
        <x:f>IF(A143="","",IF(G143="NEW ITEM","NEW ITEM - REVIEW",IF(E143&gt;G143+H143,"OVER BASELINE","OK")))</x:f>
      </x:c>
      <x:c r="L143" s="11"/>
    </x:row>
    <x:row r="144">
      <x:c r="A144" s="11"/>
      <x:c r="B144" s="11"/>
      <x:c r="C144" s="11"/>
      <x:c r="D144" s="16"/>
      <x:c r="E144" s="18"/>
      <x:c r="F144" s="18" t="str">
        <x:f>IF(OR(D144="",E144=""),"",D144*E144)</x:f>
      </x:c>
      <x:c r="G144" s="18" t="str">
        <x:f>IFERROR(XLOOKUP(A144,'Baseline Price List'!$A:$A,'Baseline Price List'!$E:$E),"NEW ITEM")</x:f>
        <x:v>NEW ITEM</x:v>
      </x:c>
      <x:c r="H144" s="18" t="n">
        <x:f>$O$2</x:f>
        <x:v>0</x:v>
      </x:c>
      <x:c r="I144" s="18" t="str">
        <x:f>IF(OR(E144="",G144="NEW ITEM"),"",E144-G144)</x:f>
      </x:c>
      <x:c r="J144" s="18" t="str">
        <x:f>IF(OR(I144="",D144=""),"",MAX(0,I144-H144)*D144)</x:f>
      </x:c>
      <x:c r="K144" s="11" t="str">
        <x:f>IF(A144="","",IF(G144="NEW ITEM","NEW ITEM - REVIEW",IF(E144&gt;G144+H144,"OVER BASELINE","OK")))</x:f>
      </x:c>
      <x:c r="L144" s="11"/>
    </x:row>
    <x:row r="145">
      <x:c r="A145" s="11"/>
      <x:c r="B145" s="11"/>
      <x:c r="C145" s="11"/>
      <x:c r="D145" s="16"/>
      <x:c r="E145" s="18"/>
      <x:c r="F145" s="18" t="str">
        <x:f>IF(OR(D145="",E145=""),"",D145*E145)</x:f>
      </x:c>
      <x:c r="G145" s="18" t="str">
        <x:f>IFERROR(XLOOKUP(A145,'Baseline Price List'!$A:$A,'Baseline Price List'!$E:$E),"NEW ITEM")</x:f>
        <x:v>NEW ITEM</x:v>
      </x:c>
      <x:c r="H145" s="18" t="n">
        <x:f>$O$2</x:f>
        <x:v>0</x:v>
      </x:c>
      <x:c r="I145" s="18" t="str">
        <x:f>IF(OR(E145="",G145="NEW ITEM"),"",E145-G145)</x:f>
      </x:c>
      <x:c r="J145" s="18" t="str">
        <x:f>IF(OR(I145="",D145=""),"",MAX(0,I145-H145)*D145)</x:f>
      </x:c>
      <x:c r="K145" s="11" t="str">
        <x:f>IF(A145="","",IF(G145="NEW ITEM","NEW ITEM - REVIEW",IF(E145&gt;G145+H145,"OVER BASELINE","OK")))</x:f>
      </x:c>
      <x:c r="L145" s="11"/>
    </x:row>
    <x:row r="146">
      <x:c r="A146" s="11"/>
      <x:c r="B146" s="11"/>
      <x:c r="C146" s="11"/>
      <x:c r="D146" s="16"/>
      <x:c r="E146" s="18"/>
      <x:c r="F146" s="18" t="str">
        <x:f>IF(OR(D146="",E146=""),"",D146*E146)</x:f>
      </x:c>
      <x:c r="G146" s="18" t="str">
        <x:f>IFERROR(XLOOKUP(A146,'Baseline Price List'!$A:$A,'Baseline Price List'!$E:$E),"NEW ITEM")</x:f>
        <x:v>NEW ITEM</x:v>
      </x:c>
      <x:c r="H146" s="18" t="n">
        <x:f>$O$2</x:f>
        <x:v>0</x:v>
      </x:c>
      <x:c r="I146" s="18" t="str">
        <x:f>IF(OR(E146="",G146="NEW ITEM"),"",E146-G146)</x:f>
      </x:c>
      <x:c r="J146" s="18" t="str">
        <x:f>IF(OR(I146="",D146=""),"",MAX(0,I146-H146)*D146)</x:f>
      </x:c>
      <x:c r="K146" s="11" t="str">
        <x:f>IF(A146="","",IF(G146="NEW ITEM","NEW ITEM - REVIEW",IF(E146&gt;G146+H146,"OVER BASELINE","OK")))</x:f>
      </x:c>
      <x:c r="L146" s="11"/>
    </x:row>
    <x:row r="147">
      <x:c r="A147" s="11"/>
      <x:c r="B147" s="11"/>
      <x:c r="C147" s="11"/>
      <x:c r="D147" s="16"/>
      <x:c r="E147" s="18"/>
      <x:c r="F147" s="18" t="str">
        <x:f>IF(OR(D147="",E147=""),"",D147*E147)</x:f>
      </x:c>
      <x:c r="G147" s="18" t="str">
        <x:f>IFERROR(XLOOKUP(A147,'Baseline Price List'!$A:$A,'Baseline Price List'!$E:$E),"NEW ITEM")</x:f>
        <x:v>NEW ITEM</x:v>
      </x:c>
      <x:c r="H147" s="18" t="n">
        <x:f>$O$2</x:f>
        <x:v>0</x:v>
      </x:c>
      <x:c r="I147" s="18" t="str">
        <x:f>IF(OR(E147="",G147="NEW ITEM"),"",E147-G147)</x:f>
      </x:c>
      <x:c r="J147" s="18" t="str">
        <x:f>IF(OR(I147="",D147=""),"",MAX(0,I147-H147)*D147)</x:f>
      </x:c>
      <x:c r="K147" s="11" t="str">
        <x:f>IF(A147="","",IF(G147="NEW ITEM","NEW ITEM - REVIEW",IF(E147&gt;G147+H147,"OVER BASELINE","OK")))</x:f>
      </x:c>
      <x:c r="L147" s="11"/>
    </x:row>
    <x:row r="148">
      <x:c r="A148" s="11"/>
      <x:c r="B148" s="11"/>
      <x:c r="C148" s="11"/>
      <x:c r="D148" s="16"/>
      <x:c r="E148" s="18"/>
      <x:c r="F148" s="18" t="str">
        <x:f>IF(OR(D148="",E148=""),"",D148*E148)</x:f>
      </x:c>
      <x:c r="G148" s="18" t="str">
        <x:f>IFERROR(XLOOKUP(A148,'Baseline Price List'!$A:$A,'Baseline Price List'!$E:$E),"NEW ITEM")</x:f>
        <x:v>NEW ITEM</x:v>
      </x:c>
      <x:c r="H148" s="18" t="n">
        <x:f>$O$2</x:f>
        <x:v>0</x:v>
      </x:c>
      <x:c r="I148" s="18" t="str">
        <x:f>IF(OR(E148="",G148="NEW ITEM"),"",E148-G148)</x:f>
      </x:c>
      <x:c r="J148" s="18" t="str">
        <x:f>IF(OR(I148="",D148=""),"",MAX(0,I148-H148)*D148)</x:f>
      </x:c>
      <x:c r="K148" s="11" t="str">
        <x:f>IF(A148="","",IF(G148="NEW ITEM","NEW ITEM - REVIEW",IF(E148&gt;G148+H148,"OVER BASELINE","OK")))</x:f>
      </x:c>
      <x:c r="L148" s="11"/>
    </x:row>
    <x:row r="149">
      <x:c r="A149" s="11"/>
      <x:c r="B149" s="11"/>
      <x:c r="C149" s="11"/>
      <x:c r="D149" s="16"/>
      <x:c r="E149" s="18"/>
      <x:c r="F149" s="18" t="str">
        <x:f>IF(OR(D149="",E149=""),"",D149*E149)</x:f>
      </x:c>
      <x:c r="G149" s="18" t="str">
        <x:f>IFERROR(XLOOKUP(A149,'Baseline Price List'!$A:$A,'Baseline Price List'!$E:$E),"NEW ITEM")</x:f>
        <x:v>NEW ITEM</x:v>
      </x:c>
      <x:c r="H149" s="18" t="n">
        <x:f>$O$2</x:f>
        <x:v>0</x:v>
      </x:c>
      <x:c r="I149" s="18" t="str">
        <x:f>IF(OR(E149="",G149="NEW ITEM"),"",E149-G149)</x:f>
      </x:c>
      <x:c r="J149" s="18" t="str">
        <x:f>IF(OR(I149="",D149=""),"",MAX(0,I149-H149)*D149)</x:f>
      </x:c>
      <x:c r="K149" s="11" t="str">
        <x:f>IF(A149="","",IF(G149="NEW ITEM","NEW ITEM - REVIEW",IF(E149&gt;G149+H149,"OVER BASELINE","OK")))</x:f>
      </x:c>
      <x:c r="L149" s="11"/>
    </x:row>
    <x:row r="150">
      <x:c r="A150" s="11"/>
      <x:c r="B150" s="11"/>
      <x:c r="C150" s="11"/>
      <x:c r="D150" s="16"/>
      <x:c r="E150" s="18"/>
      <x:c r="F150" s="18" t="str">
        <x:f>IF(OR(D150="",E150=""),"",D150*E150)</x:f>
      </x:c>
      <x:c r="G150" s="18" t="str">
        <x:f>IFERROR(XLOOKUP(A150,'Baseline Price List'!$A:$A,'Baseline Price List'!$E:$E),"NEW ITEM")</x:f>
        <x:v>NEW ITEM</x:v>
      </x:c>
      <x:c r="H150" s="18" t="n">
        <x:f>$O$2</x:f>
        <x:v>0</x:v>
      </x:c>
      <x:c r="I150" s="18" t="str">
        <x:f>IF(OR(E150="",G150="NEW ITEM"),"",E150-G150)</x:f>
      </x:c>
      <x:c r="J150" s="18" t="str">
        <x:f>IF(OR(I150="",D150=""),"",MAX(0,I150-H150)*D150)</x:f>
      </x:c>
      <x:c r="K150" s="11" t="str">
        <x:f>IF(A150="","",IF(G150="NEW ITEM","NEW ITEM - REVIEW",IF(E150&gt;G150+H150,"OVER BASELINE","OK")))</x:f>
      </x:c>
      <x:c r="L150" s="11"/>
    </x:row>
    <x:row r="151">
      <x:c r="A151" s="11"/>
      <x:c r="B151" s="11"/>
      <x:c r="C151" s="11"/>
      <x:c r="D151" s="16"/>
      <x:c r="E151" s="18"/>
      <x:c r="F151" s="18" t="str">
        <x:f>IF(OR(D151="",E151=""),"",D151*E151)</x:f>
      </x:c>
      <x:c r="G151" s="18" t="str">
        <x:f>IFERROR(XLOOKUP(A151,'Baseline Price List'!$A:$A,'Baseline Price List'!$E:$E),"NEW ITEM")</x:f>
        <x:v>NEW ITEM</x:v>
      </x:c>
      <x:c r="H151" s="18" t="n">
        <x:f>$O$2</x:f>
        <x:v>0</x:v>
      </x:c>
      <x:c r="I151" s="18" t="str">
        <x:f>IF(OR(E151="",G151="NEW ITEM"),"",E151-G151)</x:f>
      </x:c>
      <x:c r="J151" s="18" t="str">
        <x:f>IF(OR(I151="",D151=""),"",MAX(0,I151-H151)*D151)</x:f>
      </x:c>
      <x:c r="K151" s="11" t="str">
        <x:f>IF(A151="","",IF(G151="NEW ITEM","NEW ITEM - REVIEW",IF(E151&gt;G151+H151,"OVER BASELINE","OK")))</x:f>
      </x:c>
      <x:c r="L151" s="11"/>
    </x:row>
    <x:row r="152">
      <x:c r="A152" s="11"/>
      <x:c r="B152" s="11"/>
      <x:c r="C152" s="11"/>
      <x:c r="D152" s="16"/>
      <x:c r="E152" s="18"/>
      <x:c r="F152" s="18" t="str">
        <x:f>IF(OR(D152="",E152=""),"",D152*E152)</x:f>
      </x:c>
      <x:c r="G152" s="18" t="str">
        <x:f>IFERROR(XLOOKUP(A152,'Baseline Price List'!$A:$A,'Baseline Price List'!$E:$E),"NEW ITEM")</x:f>
        <x:v>NEW ITEM</x:v>
      </x:c>
      <x:c r="H152" s="18" t="n">
        <x:f>$O$2</x:f>
        <x:v>0</x:v>
      </x:c>
      <x:c r="I152" s="18" t="str">
        <x:f>IF(OR(E152="",G152="NEW ITEM"),"",E152-G152)</x:f>
      </x:c>
      <x:c r="J152" s="18" t="str">
        <x:f>IF(OR(I152="",D152=""),"",MAX(0,I152-H152)*D152)</x:f>
      </x:c>
      <x:c r="K152" s="11" t="str">
        <x:f>IF(A152="","",IF(G152="NEW ITEM","NEW ITEM - REVIEW",IF(E152&gt;G152+H152,"OVER BASELINE","OK")))</x:f>
      </x:c>
      <x:c r="L152" s="11"/>
    </x:row>
    <x:row r="153">
      <x:c r="A153" s="11"/>
      <x:c r="B153" s="11"/>
      <x:c r="C153" s="11"/>
      <x:c r="D153" s="16"/>
      <x:c r="E153" s="18"/>
      <x:c r="F153" s="18" t="str">
        <x:f>IF(OR(D153="",E153=""),"",D153*E153)</x:f>
      </x:c>
      <x:c r="G153" s="18" t="str">
        <x:f>IFERROR(XLOOKUP(A153,'Baseline Price List'!$A:$A,'Baseline Price List'!$E:$E),"NEW ITEM")</x:f>
        <x:v>NEW ITEM</x:v>
      </x:c>
      <x:c r="H153" s="18" t="n">
        <x:f>$O$2</x:f>
        <x:v>0</x:v>
      </x:c>
      <x:c r="I153" s="18" t="str">
        <x:f>IF(OR(E153="",G153="NEW ITEM"),"",E153-G153)</x:f>
      </x:c>
      <x:c r="J153" s="18" t="str">
        <x:f>IF(OR(I153="",D153=""),"",MAX(0,I153-H153)*D153)</x:f>
      </x:c>
      <x:c r="K153" s="11" t="str">
        <x:f>IF(A153="","",IF(G153="NEW ITEM","NEW ITEM - REVIEW",IF(E153&gt;G153+H153,"OVER BASELINE","OK")))</x:f>
      </x:c>
      <x:c r="L153" s="11"/>
    </x:row>
    <x:row r="154">
      <x:c r="A154" s="11"/>
      <x:c r="B154" s="11"/>
      <x:c r="C154" s="11"/>
      <x:c r="D154" s="16"/>
      <x:c r="E154" s="18"/>
      <x:c r="F154" s="18" t="str">
        <x:f>IF(OR(D154="",E154=""),"",D154*E154)</x:f>
      </x:c>
      <x:c r="G154" s="18" t="str">
        <x:f>IFERROR(XLOOKUP(A154,'Baseline Price List'!$A:$A,'Baseline Price List'!$E:$E),"NEW ITEM")</x:f>
        <x:v>NEW ITEM</x:v>
      </x:c>
      <x:c r="H154" s="18" t="n">
        <x:f>$O$2</x:f>
        <x:v>0</x:v>
      </x:c>
      <x:c r="I154" s="18" t="str">
        <x:f>IF(OR(E154="",G154="NEW ITEM"),"",E154-G154)</x:f>
      </x:c>
      <x:c r="J154" s="18" t="str">
        <x:f>IF(OR(I154="",D154=""),"",MAX(0,I154-H154)*D154)</x:f>
      </x:c>
      <x:c r="K154" s="11" t="str">
        <x:f>IF(A154="","",IF(G154="NEW ITEM","NEW ITEM - REVIEW",IF(E154&gt;G154+H154,"OVER BASELINE","OK")))</x:f>
      </x:c>
      <x:c r="L154" s="11"/>
    </x:row>
    <x:row r="155">
      <x:c r="A155" s="11"/>
      <x:c r="B155" s="11"/>
      <x:c r="C155" s="11"/>
      <x:c r="D155" s="16"/>
      <x:c r="E155" s="18"/>
      <x:c r="F155" s="18" t="str">
        <x:f>IF(OR(D155="",E155=""),"",D155*E155)</x:f>
      </x:c>
      <x:c r="G155" s="18" t="str">
        <x:f>IFERROR(XLOOKUP(A155,'Baseline Price List'!$A:$A,'Baseline Price List'!$E:$E),"NEW ITEM")</x:f>
        <x:v>NEW ITEM</x:v>
      </x:c>
      <x:c r="H155" s="18" t="n">
        <x:f>$O$2</x:f>
        <x:v>0</x:v>
      </x:c>
      <x:c r="I155" s="18" t="str">
        <x:f>IF(OR(E155="",G155="NEW ITEM"),"",E155-G155)</x:f>
      </x:c>
      <x:c r="J155" s="18" t="str">
        <x:f>IF(OR(I155="",D155=""),"",MAX(0,I155-H155)*D155)</x:f>
      </x:c>
      <x:c r="K155" s="11" t="str">
        <x:f>IF(A155="","",IF(G155="NEW ITEM","NEW ITEM - REVIEW",IF(E155&gt;G155+H155,"OVER BASELINE","OK")))</x:f>
      </x:c>
      <x:c r="L155" s="11"/>
    </x:row>
    <x:row r="156">
      <x:c r="A156" s="11"/>
      <x:c r="B156" s="11"/>
      <x:c r="C156" s="11"/>
      <x:c r="D156" s="16"/>
      <x:c r="E156" s="18"/>
      <x:c r="F156" s="18" t="str">
        <x:f>IF(OR(D156="",E156=""),"",D156*E156)</x:f>
      </x:c>
      <x:c r="G156" s="18" t="str">
        <x:f>IFERROR(XLOOKUP(A156,'Baseline Price List'!$A:$A,'Baseline Price List'!$E:$E),"NEW ITEM")</x:f>
        <x:v>NEW ITEM</x:v>
      </x:c>
      <x:c r="H156" s="18" t="n">
        <x:f>$O$2</x:f>
        <x:v>0</x:v>
      </x:c>
      <x:c r="I156" s="18" t="str">
        <x:f>IF(OR(E156="",G156="NEW ITEM"),"",E156-G156)</x:f>
      </x:c>
      <x:c r="J156" s="18" t="str">
        <x:f>IF(OR(I156="",D156=""),"",MAX(0,I156-H156)*D156)</x:f>
      </x:c>
      <x:c r="K156" s="11" t="str">
        <x:f>IF(A156="","",IF(G156="NEW ITEM","NEW ITEM - REVIEW",IF(E156&gt;G156+H156,"OVER BASELINE","OK")))</x:f>
      </x:c>
      <x:c r="L156" s="11"/>
    </x:row>
    <x:row r="157">
      <x:c r="A157" s="11"/>
      <x:c r="B157" s="11"/>
      <x:c r="C157" s="11"/>
      <x:c r="D157" s="16"/>
      <x:c r="E157" s="18"/>
      <x:c r="F157" s="18" t="str">
        <x:f>IF(OR(D157="",E157=""),"",D157*E157)</x:f>
      </x:c>
      <x:c r="G157" s="18" t="str">
        <x:f>IFERROR(XLOOKUP(A157,'Baseline Price List'!$A:$A,'Baseline Price List'!$E:$E),"NEW ITEM")</x:f>
        <x:v>NEW ITEM</x:v>
      </x:c>
      <x:c r="H157" s="18" t="n">
        <x:f>$O$2</x:f>
        <x:v>0</x:v>
      </x:c>
      <x:c r="I157" s="18" t="str">
        <x:f>IF(OR(E157="",G157="NEW ITEM"),"",E157-G157)</x:f>
      </x:c>
      <x:c r="J157" s="18" t="str">
        <x:f>IF(OR(I157="",D157=""),"",MAX(0,I157-H157)*D157)</x:f>
      </x:c>
      <x:c r="K157" s="11" t="str">
        <x:f>IF(A157="","",IF(G157="NEW ITEM","NEW ITEM - REVIEW",IF(E157&gt;G157+H157,"OVER BASELINE","OK")))</x:f>
      </x:c>
      <x:c r="L157" s="11"/>
    </x:row>
    <x:row r="158">
      <x:c r="A158" s="11"/>
      <x:c r="B158" s="11"/>
      <x:c r="C158" s="11"/>
      <x:c r="D158" s="16"/>
      <x:c r="E158" s="18"/>
      <x:c r="F158" s="18" t="str">
        <x:f>IF(OR(D158="",E158=""),"",D158*E158)</x:f>
      </x:c>
      <x:c r="G158" s="18" t="str">
        <x:f>IFERROR(XLOOKUP(A158,'Baseline Price List'!$A:$A,'Baseline Price List'!$E:$E),"NEW ITEM")</x:f>
        <x:v>NEW ITEM</x:v>
      </x:c>
      <x:c r="H158" s="18" t="n">
        <x:f>$O$2</x:f>
        <x:v>0</x:v>
      </x:c>
      <x:c r="I158" s="18" t="str">
        <x:f>IF(OR(E158="",G158="NEW ITEM"),"",E158-G158)</x:f>
      </x:c>
      <x:c r="J158" s="18" t="str">
        <x:f>IF(OR(I158="",D158=""),"",MAX(0,I158-H158)*D158)</x:f>
      </x:c>
      <x:c r="K158" s="11" t="str">
        <x:f>IF(A158="","",IF(G158="NEW ITEM","NEW ITEM - REVIEW",IF(E158&gt;G158+H158,"OVER BASELINE","OK")))</x:f>
      </x:c>
      <x:c r="L158" s="11"/>
    </x:row>
    <x:row r="159">
      <x:c r="A159" s="11"/>
      <x:c r="B159" s="11"/>
      <x:c r="C159" s="11"/>
      <x:c r="D159" s="16"/>
      <x:c r="E159" s="18"/>
      <x:c r="F159" s="18" t="str">
        <x:f>IF(OR(D159="",E159=""),"",D159*E159)</x:f>
      </x:c>
      <x:c r="G159" s="18" t="str">
        <x:f>IFERROR(XLOOKUP(A159,'Baseline Price List'!$A:$A,'Baseline Price List'!$E:$E),"NEW ITEM")</x:f>
        <x:v>NEW ITEM</x:v>
      </x:c>
      <x:c r="H159" s="18" t="n">
        <x:f>$O$2</x:f>
        <x:v>0</x:v>
      </x:c>
      <x:c r="I159" s="18" t="str">
        <x:f>IF(OR(E159="",G159="NEW ITEM"),"",E159-G159)</x:f>
      </x:c>
      <x:c r="J159" s="18" t="str">
        <x:f>IF(OR(I159="",D159=""),"",MAX(0,I159-H159)*D159)</x:f>
      </x:c>
      <x:c r="K159" s="11" t="str">
        <x:f>IF(A159="","",IF(G159="NEW ITEM","NEW ITEM - REVIEW",IF(E159&gt;G159+H159,"OVER BASELINE","OK")))</x:f>
      </x:c>
      <x:c r="L159" s="11"/>
    </x:row>
    <x:row r="160">
      <x:c r="A160" s="11"/>
      <x:c r="B160" s="11"/>
      <x:c r="C160" s="11"/>
      <x:c r="D160" s="16"/>
      <x:c r="E160" s="18"/>
      <x:c r="F160" s="18" t="str">
        <x:f>IF(OR(D160="",E160=""),"",D160*E160)</x:f>
      </x:c>
      <x:c r="G160" s="18" t="str">
        <x:f>IFERROR(XLOOKUP(A160,'Baseline Price List'!$A:$A,'Baseline Price List'!$E:$E),"NEW ITEM")</x:f>
        <x:v>NEW ITEM</x:v>
      </x:c>
      <x:c r="H160" s="18" t="n">
        <x:f>$O$2</x:f>
        <x:v>0</x:v>
      </x:c>
      <x:c r="I160" s="18" t="str">
        <x:f>IF(OR(E160="",G160="NEW ITEM"),"",E160-G160)</x:f>
      </x:c>
      <x:c r="J160" s="18" t="str">
        <x:f>IF(OR(I160="",D160=""),"",MAX(0,I160-H160)*D160)</x:f>
      </x:c>
      <x:c r="K160" s="11" t="str">
        <x:f>IF(A160="","",IF(G160="NEW ITEM","NEW ITEM - REVIEW",IF(E160&gt;G160+H160,"OVER BASELINE","OK")))</x:f>
      </x:c>
      <x:c r="L160" s="11"/>
    </x:row>
    <x:row r="161">
      <x:c r="A161" s="11"/>
      <x:c r="B161" s="11"/>
      <x:c r="C161" s="11"/>
      <x:c r="D161" s="16"/>
      <x:c r="E161" s="18"/>
      <x:c r="F161" s="18" t="str">
        <x:f>IF(OR(D161="",E161=""),"",D161*E161)</x:f>
      </x:c>
      <x:c r="G161" s="18" t="str">
        <x:f>IFERROR(XLOOKUP(A161,'Baseline Price List'!$A:$A,'Baseline Price List'!$E:$E),"NEW ITEM")</x:f>
        <x:v>NEW ITEM</x:v>
      </x:c>
      <x:c r="H161" s="18" t="n">
        <x:f>$O$2</x:f>
        <x:v>0</x:v>
      </x:c>
      <x:c r="I161" s="18" t="str">
        <x:f>IF(OR(E161="",G161="NEW ITEM"),"",E161-G161)</x:f>
      </x:c>
      <x:c r="J161" s="18" t="str">
        <x:f>IF(OR(I161="",D161=""),"",MAX(0,I161-H161)*D161)</x:f>
      </x:c>
      <x:c r="K161" s="11" t="str">
        <x:f>IF(A161="","",IF(G161="NEW ITEM","NEW ITEM - REVIEW",IF(E161&gt;G161+H161,"OVER BASELINE","OK")))</x:f>
      </x:c>
      <x:c r="L161" s="11"/>
    </x:row>
    <x:row r="162">
      <x:c r="A162" s="11"/>
      <x:c r="B162" s="11"/>
      <x:c r="C162" s="11"/>
      <x:c r="D162" s="16"/>
      <x:c r="E162" s="18"/>
      <x:c r="F162" s="18" t="str">
        <x:f>IF(OR(D162="",E162=""),"",D162*E162)</x:f>
      </x:c>
      <x:c r="G162" s="18" t="str">
        <x:f>IFERROR(XLOOKUP(A162,'Baseline Price List'!$A:$A,'Baseline Price List'!$E:$E),"NEW ITEM")</x:f>
        <x:v>NEW ITEM</x:v>
      </x:c>
      <x:c r="H162" s="18" t="n">
        <x:f>$O$2</x:f>
        <x:v>0</x:v>
      </x:c>
      <x:c r="I162" s="18" t="str">
        <x:f>IF(OR(E162="",G162="NEW ITEM"),"",E162-G162)</x:f>
      </x:c>
      <x:c r="J162" s="18" t="str">
        <x:f>IF(OR(I162="",D162=""),"",MAX(0,I162-H162)*D162)</x:f>
      </x:c>
      <x:c r="K162" s="11" t="str">
        <x:f>IF(A162="","",IF(G162="NEW ITEM","NEW ITEM - REVIEW",IF(E162&gt;G162+H162,"OVER BASELINE","OK")))</x:f>
      </x:c>
      <x:c r="L162" s="11"/>
    </x:row>
    <x:row r="163">
      <x:c r="A163" s="11"/>
      <x:c r="B163" s="11"/>
      <x:c r="C163" s="11"/>
      <x:c r="D163" s="16"/>
      <x:c r="E163" s="18"/>
      <x:c r="F163" s="18" t="str">
        <x:f>IF(OR(D163="",E163=""),"",D163*E163)</x:f>
      </x:c>
      <x:c r="G163" s="18" t="str">
        <x:f>IFERROR(XLOOKUP(A163,'Baseline Price List'!$A:$A,'Baseline Price List'!$E:$E),"NEW ITEM")</x:f>
        <x:v>NEW ITEM</x:v>
      </x:c>
      <x:c r="H163" s="18" t="n">
        <x:f>$O$2</x:f>
        <x:v>0</x:v>
      </x:c>
      <x:c r="I163" s="18" t="str">
        <x:f>IF(OR(E163="",G163="NEW ITEM"),"",E163-G163)</x:f>
      </x:c>
      <x:c r="J163" s="18" t="str">
        <x:f>IF(OR(I163="",D163=""),"",MAX(0,I163-H163)*D163)</x:f>
      </x:c>
      <x:c r="K163" s="11" t="str">
        <x:f>IF(A163="","",IF(G163="NEW ITEM","NEW ITEM - REVIEW",IF(E163&gt;G163+H163,"OVER BASELINE","OK")))</x:f>
      </x:c>
      <x:c r="L163" s="11"/>
    </x:row>
    <x:row r="164">
      <x:c r="A164" s="11"/>
      <x:c r="B164" s="11"/>
      <x:c r="C164" s="11"/>
      <x:c r="D164" s="16"/>
      <x:c r="E164" s="18"/>
      <x:c r="F164" s="18" t="str">
        <x:f>IF(OR(D164="",E164=""),"",D164*E164)</x:f>
      </x:c>
      <x:c r="G164" s="18" t="str">
        <x:f>IFERROR(XLOOKUP(A164,'Baseline Price List'!$A:$A,'Baseline Price List'!$E:$E),"NEW ITEM")</x:f>
        <x:v>NEW ITEM</x:v>
      </x:c>
      <x:c r="H164" s="18" t="n">
        <x:f>$O$2</x:f>
        <x:v>0</x:v>
      </x:c>
      <x:c r="I164" s="18" t="str">
        <x:f>IF(OR(E164="",G164="NEW ITEM"),"",E164-G164)</x:f>
      </x:c>
      <x:c r="J164" s="18" t="str">
        <x:f>IF(OR(I164="",D164=""),"",MAX(0,I164-H164)*D164)</x:f>
      </x:c>
      <x:c r="K164" s="11" t="str">
        <x:f>IF(A164="","",IF(G164="NEW ITEM","NEW ITEM - REVIEW",IF(E164&gt;G164+H164,"OVER BASELINE","OK")))</x:f>
      </x:c>
      <x:c r="L164" s="11"/>
    </x:row>
    <x:row r="165">
      <x:c r="A165" s="11"/>
      <x:c r="B165" s="11"/>
      <x:c r="C165" s="11"/>
      <x:c r="D165" s="16"/>
      <x:c r="E165" s="18"/>
      <x:c r="F165" s="18" t="str">
        <x:f>IF(OR(D165="",E165=""),"",D165*E165)</x:f>
      </x:c>
      <x:c r="G165" s="18" t="str">
        <x:f>IFERROR(XLOOKUP(A165,'Baseline Price List'!$A:$A,'Baseline Price List'!$E:$E),"NEW ITEM")</x:f>
        <x:v>NEW ITEM</x:v>
      </x:c>
      <x:c r="H165" s="18" t="n">
        <x:f>$O$2</x:f>
        <x:v>0</x:v>
      </x:c>
      <x:c r="I165" s="18" t="str">
        <x:f>IF(OR(E165="",G165="NEW ITEM"),"",E165-G165)</x:f>
      </x:c>
      <x:c r="J165" s="18" t="str">
        <x:f>IF(OR(I165="",D165=""),"",MAX(0,I165-H165)*D165)</x:f>
      </x:c>
      <x:c r="K165" s="11" t="str">
        <x:f>IF(A165="","",IF(G165="NEW ITEM","NEW ITEM - REVIEW",IF(E165&gt;G165+H165,"OVER BASELINE","OK")))</x:f>
      </x:c>
      <x:c r="L165" s="11"/>
    </x:row>
    <x:row r="166">
      <x:c r="A166" s="11"/>
      <x:c r="B166" s="11"/>
      <x:c r="C166" s="11"/>
      <x:c r="D166" s="16"/>
      <x:c r="E166" s="18"/>
      <x:c r="F166" s="18" t="str">
        <x:f>IF(OR(D166="",E166=""),"",D166*E166)</x:f>
      </x:c>
      <x:c r="G166" s="18" t="str">
        <x:f>IFERROR(XLOOKUP(A166,'Baseline Price List'!$A:$A,'Baseline Price List'!$E:$E),"NEW ITEM")</x:f>
        <x:v>NEW ITEM</x:v>
      </x:c>
      <x:c r="H166" s="18" t="n">
        <x:f>$O$2</x:f>
        <x:v>0</x:v>
      </x:c>
      <x:c r="I166" s="18" t="str">
        <x:f>IF(OR(E166="",G166="NEW ITEM"),"",E166-G166)</x:f>
      </x:c>
      <x:c r="J166" s="18" t="str">
        <x:f>IF(OR(I166="",D166=""),"",MAX(0,I166-H166)*D166)</x:f>
      </x:c>
      <x:c r="K166" s="11" t="str">
        <x:f>IF(A166="","",IF(G166="NEW ITEM","NEW ITEM - REVIEW",IF(E166&gt;G166+H166,"OVER BASELINE","OK")))</x:f>
      </x:c>
      <x:c r="L166" s="11"/>
    </x:row>
    <x:row r="167">
      <x:c r="A167" s="11"/>
      <x:c r="B167" s="11"/>
      <x:c r="C167" s="11"/>
      <x:c r="D167" s="16"/>
      <x:c r="E167" s="18"/>
      <x:c r="F167" s="18" t="str">
        <x:f>IF(OR(D167="",E167=""),"",D167*E167)</x:f>
      </x:c>
      <x:c r="G167" s="18" t="str">
        <x:f>IFERROR(XLOOKUP(A167,'Baseline Price List'!$A:$A,'Baseline Price List'!$E:$E),"NEW ITEM")</x:f>
        <x:v>NEW ITEM</x:v>
      </x:c>
      <x:c r="H167" s="18" t="n">
        <x:f>$O$2</x:f>
        <x:v>0</x:v>
      </x:c>
      <x:c r="I167" s="18" t="str">
        <x:f>IF(OR(E167="",G167="NEW ITEM"),"",E167-G167)</x:f>
      </x:c>
      <x:c r="J167" s="18" t="str">
        <x:f>IF(OR(I167="",D167=""),"",MAX(0,I167-H167)*D167)</x:f>
      </x:c>
      <x:c r="K167" s="11" t="str">
        <x:f>IF(A167="","",IF(G167="NEW ITEM","NEW ITEM - REVIEW",IF(E167&gt;G167+H167,"OVER BASELINE","OK")))</x:f>
      </x:c>
      <x:c r="L167" s="11"/>
    </x:row>
    <x:row r="168">
      <x:c r="A168" s="11"/>
      <x:c r="B168" s="11"/>
      <x:c r="C168" s="11"/>
      <x:c r="D168" s="16"/>
      <x:c r="E168" s="18"/>
      <x:c r="F168" s="18" t="str">
        <x:f>IF(OR(D168="",E168=""),"",D168*E168)</x:f>
      </x:c>
      <x:c r="G168" s="18" t="str">
        <x:f>IFERROR(XLOOKUP(A168,'Baseline Price List'!$A:$A,'Baseline Price List'!$E:$E),"NEW ITEM")</x:f>
        <x:v>NEW ITEM</x:v>
      </x:c>
      <x:c r="H168" s="18" t="n">
        <x:f>$O$2</x:f>
        <x:v>0</x:v>
      </x:c>
      <x:c r="I168" s="18" t="str">
        <x:f>IF(OR(E168="",G168="NEW ITEM"),"",E168-G168)</x:f>
      </x:c>
      <x:c r="J168" s="18" t="str">
        <x:f>IF(OR(I168="",D168=""),"",MAX(0,I168-H168)*D168)</x:f>
      </x:c>
      <x:c r="K168" s="11" t="str">
        <x:f>IF(A168="","",IF(G168="NEW ITEM","NEW ITEM - REVIEW",IF(E168&gt;G168+H168,"OVER BASELINE","OK")))</x:f>
      </x:c>
      <x:c r="L168" s="11"/>
    </x:row>
    <x:row r="169">
      <x:c r="A169" s="11"/>
      <x:c r="B169" s="11"/>
      <x:c r="C169" s="11"/>
      <x:c r="D169" s="16"/>
      <x:c r="E169" s="18"/>
      <x:c r="F169" s="18" t="str">
        <x:f>IF(OR(D169="",E169=""),"",D169*E169)</x:f>
      </x:c>
      <x:c r="G169" s="18" t="str">
        <x:f>IFERROR(XLOOKUP(A169,'Baseline Price List'!$A:$A,'Baseline Price List'!$E:$E),"NEW ITEM")</x:f>
        <x:v>NEW ITEM</x:v>
      </x:c>
      <x:c r="H169" s="18" t="n">
        <x:f>$O$2</x:f>
        <x:v>0</x:v>
      </x:c>
      <x:c r="I169" s="18" t="str">
        <x:f>IF(OR(E169="",G169="NEW ITEM"),"",E169-G169)</x:f>
      </x:c>
      <x:c r="J169" s="18" t="str">
        <x:f>IF(OR(I169="",D169=""),"",MAX(0,I169-H169)*D169)</x:f>
      </x:c>
      <x:c r="K169" s="11" t="str">
        <x:f>IF(A169="","",IF(G169="NEW ITEM","NEW ITEM - REVIEW",IF(E169&gt;G169+H169,"OVER BASELINE","OK")))</x:f>
      </x:c>
      <x:c r="L169" s="11"/>
    </x:row>
    <x:row r="170">
      <x:c r="A170" s="11"/>
      <x:c r="B170" s="11"/>
      <x:c r="C170" s="11"/>
      <x:c r="D170" s="16"/>
      <x:c r="E170" s="18"/>
      <x:c r="F170" s="18" t="str">
        <x:f>IF(OR(D170="",E170=""),"",D170*E170)</x:f>
      </x:c>
      <x:c r="G170" s="18" t="str">
        <x:f>IFERROR(XLOOKUP(A170,'Baseline Price List'!$A:$A,'Baseline Price List'!$E:$E),"NEW ITEM")</x:f>
        <x:v>NEW ITEM</x:v>
      </x:c>
      <x:c r="H170" s="18" t="n">
        <x:f>$O$2</x:f>
        <x:v>0</x:v>
      </x:c>
      <x:c r="I170" s="18" t="str">
        <x:f>IF(OR(E170="",G170="NEW ITEM"),"",E170-G170)</x:f>
      </x:c>
      <x:c r="J170" s="18" t="str">
        <x:f>IF(OR(I170="",D170=""),"",MAX(0,I170-H170)*D170)</x:f>
      </x:c>
      <x:c r="K170" s="11" t="str">
        <x:f>IF(A170="","",IF(G170="NEW ITEM","NEW ITEM - REVIEW",IF(E170&gt;G170+H170,"OVER BASELINE","OK")))</x:f>
      </x:c>
      <x:c r="L170" s="11"/>
    </x:row>
    <x:row r="171">
      <x:c r="A171" s="11"/>
      <x:c r="B171" s="11"/>
      <x:c r="C171" s="11"/>
      <x:c r="D171" s="16"/>
      <x:c r="E171" s="18"/>
      <x:c r="F171" s="18" t="str">
        <x:f>IF(OR(D171="",E171=""),"",D171*E171)</x:f>
      </x:c>
      <x:c r="G171" s="18" t="str">
        <x:f>IFERROR(XLOOKUP(A171,'Baseline Price List'!$A:$A,'Baseline Price List'!$E:$E),"NEW ITEM")</x:f>
        <x:v>NEW ITEM</x:v>
      </x:c>
      <x:c r="H171" s="18" t="n">
        <x:f>$O$2</x:f>
        <x:v>0</x:v>
      </x:c>
      <x:c r="I171" s="18" t="str">
        <x:f>IF(OR(E171="",G171="NEW ITEM"),"",E171-G171)</x:f>
      </x:c>
      <x:c r="J171" s="18" t="str">
        <x:f>IF(OR(I171="",D171=""),"",MAX(0,I171-H171)*D171)</x:f>
      </x:c>
      <x:c r="K171" s="11" t="str">
        <x:f>IF(A171="","",IF(G171="NEW ITEM","NEW ITEM - REVIEW",IF(E171&gt;G171+H171,"OVER BASELINE","OK")))</x:f>
      </x:c>
      <x:c r="L171" s="11"/>
    </x:row>
    <x:row r="172">
      <x:c r="A172" s="11"/>
      <x:c r="B172" s="11"/>
      <x:c r="C172" s="11"/>
      <x:c r="D172" s="16"/>
      <x:c r="E172" s="18"/>
      <x:c r="F172" s="18" t="str">
        <x:f>IF(OR(D172="",E172=""),"",D172*E172)</x:f>
      </x:c>
      <x:c r="G172" s="18" t="str">
        <x:f>IFERROR(XLOOKUP(A172,'Baseline Price List'!$A:$A,'Baseline Price List'!$E:$E),"NEW ITEM")</x:f>
        <x:v>NEW ITEM</x:v>
      </x:c>
      <x:c r="H172" s="18" t="n">
        <x:f>$O$2</x:f>
        <x:v>0</x:v>
      </x:c>
      <x:c r="I172" s="18" t="str">
        <x:f>IF(OR(E172="",G172="NEW ITEM"),"",E172-G172)</x:f>
      </x:c>
      <x:c r="J172" s="18" t="str">
        <x:f>IF(OR(I172="",D172=""),"",MAX(0,I172-H172)*D172)</x:f>
      </x:c>
      <x:c r="K172" s="11" t="str">
        <x:f>IF(A172="","",IF(G172="NEW ITEM","NEW ITEM - REVIEW",IF(E172&gt;G172+H172,"OVER BASELINE","OK")))</x:f>
      </x:c>
      <x:c r="L172" s="11"/>
    </x:row>
    <x:row r="173">
      <x:c r="A173" s="11"/>
      <x:c r="B173" s="11"/>
      <x:c r="C173" s="11"/>
      <x:c r="D173" s="16"/>
      <x:c r="E173" s="18"/>
      <x:c r="F173" s="18" t="str">
        <x:f>IF(OR(D173="",E173=""),"",D173*E173)</x:f>
      </x:c>
      <x:c r="G173" s="18" t="str">
        <x:f>IFERROR(XLOOKUP(A173,'Baseline Price List'!$A:$A,'Baseline Price List'!$E:$E),"NEW ITEM")</x:f>
        <x:v>NEW ITEM</x:v>
      </x:c>
      <x:c r="H173" s="18" t="n">
        <x:f>$O$2</x:f>
        <x:v>0</x:v>
      </x:c>
      <x:c r="I173" s="18" t="str">
        <x:f>IF(OR(E173="",G173="NEW ITEM"),"",E173-G173)</x:f>
      </x:c>
      <x:c r="J173" s="18" t="str">
        <x:f>IF(OR(I173="",D173=""),"",MAX(0,I173-H173)*D173)</x:f>
      </x:c>
      <x:c r="K173" s="11" t="str">
        <x:f>IF(A173="","",IF(G173="NEW ITEM","NEW ITEM - REVIEW",IF(E173&gt;G173+H173,"OVER BASELINE","OK")))</x:f>
      </x:c>
      <x:c r="L173" s="11"/>
    </x:row>
    <x:row r="174">
      <x:c r="A174" s="11"/>
      <x:c r="B174" s="11"/>
      <x:c r="C174" s="11"/>
      <x:c r="D174" s="16"/>
      <x:c r="E174" s="18"/>
      <x:c r="F174" s="18" t="str">
        <x:f>IF(OR(D174="",E174=""),"",D174*E174)</x:f>
      </x:c>
      <x:c r="G174" s="18" t="str">
        <x:f>IFERROR(XLOOKUP(A174,'Baseline Price List'!$A:$A,'Baseline Price List'!$E:$E),"NEW ITEM")</x:f>
        <x:v>NEW ITEM</x:v>
      </x:c>
      <x:c r="H174" s="18" t="n">
        <x:f>$O$2</x:f>
        <x:v>0</x:v>
      </x:c>
      <x:c r="I174" s="18" t="str">
        <x:f>IF(OR(E174="",G174="NEW ITEM"),"",E174-G174)</x:f>
      </x:c>
      <x:c r="J174" s="18" t="str">
        <x:f>IF(OR(I174="",D174=""),"",MAX(0,I174-H174)*D174)</x:f>
      </x:c>
      <x:c r="K174" s="11" t="str">
        <x:f>IF(A174="","",IF(G174="NEW ITEM","NEW ITEM - REVIEW",IF(E174&gt;G174+H174,"OVER BASELINE","OK")))</x:f>
      </x:c>
      <x:c r="L174" s="11"/>
    </x:row>
    <x:row r="175">
      <x:c r="A175" s="11"/>
      <x:c r="B175" s="11"/>
      <x:c r="C175" s="11"/>
      <x:c r="D175" s="16"/>
      <x:c r="E175" s="18"/>
      <x:c r="F175" s="18" t="str">
        <x:f>IF(OR(D175="",E175=""),"",D175*E175)</x:f>
      </x:c>
      <x:c r="G175" s="18" t="str">
        <x:f>IFERROR(XLOOKUP(A175,'Baseline Price List'!$A:$A,'Baseline Price List'!$E:$E),"NEW ITEM")</x:f>
        <x:v>NEW ITEM</x:v>
      </x:c>
      <x:c r="H175" s="18" t="n">
        <x:f>$O$2</x:f>
        <x:v>0</x:v>
      </x:c>
      <x:c r="I175" s="18" t="str">
        <x:f>IF(OR(E175="",G175="NEW ITEM"),"",E175-G175)</x:f>
      </x:c>
      <x:c r="J175" s="18" t="str">
        <x:f>IF(OR(I175="",D175=""),"",MAX(0,I175-H175)*D175)</x:f>
      </x:c>
      <x:c r="K175" s="11" t="str">
        <x:f>IF(A175="","",IF(G175="NEW ITEM","NEW ITEM - REVIEW",IF(E175&gt;G175+H175,"OVER BASELINE","OK")))</x:f>
      </x:c>
      <x:c r="L175" s="11"/>
    </x:row>
    <x:row r="176">
      <x:c r="A176" s="11"/>
      <x:c r="B176" s="11"/>
      <x:c r="C176" s="11"/>
      <x:c r="D176" s="16"/>
      <x:c r="E176" s="18"/>
      <x:c r="F176" s="18" t="str">
        <x:f>IF(OR(D176="",E176=""),"",D176*E176)</x:f>
      </x:c>
      <x:c r="G176" s="18" t="str">
        <x:f>IFERROR(XLOOKUP(A176,'Baseline Price List'!$A:$A,'Baseline Price List'!$E:$E),"NEW ITEM")</x:f>
        <x:v>NEW ITEM</x:v>
      </x:c>
      <x:c r="H176" s="18" t="n">
        <x:f>$O$2</x:f>
        <x:v>0</x:v>
      </x:c>
      <x:c r="I176" s="18" t="str">
        <x:f>IF(OR(E176="",G176="NEW ITEM"),"",E176-G176)</x:f>
      </x:c>
      <x:c r="J176" s="18" t="str">
        <x:f>IF(OR(I176="",D176=""),"",MAX(0,I176-H176)*D176)</x:f>
      </x:c>
      <x:c r="K176" s="11" t="str">
        <x:f>IF(A176="","",IF(G176="NEW ITEM","NEW ITEM - REVIEW",IF(E176&gt;G176+H176,"OVER BASELINE","OK")))</x:f>
      </x:c>
      <x:c r="L176" s="11"/>
    </x:row>
    <x:row r="177">
      <x:c r="A177" s="11"/>
      <x:c r="B177" s="11"/>
      <x:c r="C177" s="11"/>
      <x:c r="D177" s="16"/>
      <x:c r="E177" s="18"/>
      <x:c r="F177" s="18" t="str">
        <x:f>IF(OR(D177="",E177=""),"",D177*E177)</x:f>
      </x:c>
      <x:c r="G177" s="18" t="str">
        <x:f>IFERROR(XLOOKUP(A177,'Baseline Price List'!$A:$A,'Baseline Price List'!$E:$E),"NEW ITEM")</x:f>
        <x:v>NEW ITEM</x:v>
      </x:c>
      <x:c r="H177" s="18" t="n">
        <x:f>$O$2</x:f>
        <x:v>0</x:v>
      </x:c>
      <x:c r="I177" s="18" t="str">
        <x:f>IF(OR(E177="",G177="NEW ITEM"),"",E177-G177)</x:f>
      </x:c>
      <x:c r="J177" s="18" t="str">
        <x:f>IF(OR(I177="",D177=""),"",MAX(0,I177-H177)*D177)</x:f>
      </x:c>
      <x:c r="K177" s="11" t="str">
        <x:f>IF(A177="","",IF(G177="NEW ITEM","NEW ITEM - REVIEW",IF(E177&gt;G177+H177,"OVER BASELINE","OK")))</x:f>
      </x:c>
      <x:c r="L177" s="11"/>
    </x:row>
    <x:row r="178">
      <x:c r="A178" s="11"/>
      <x:c r="B178" s="11"/>
      <x:c r="C178" s="11"/>
      <x:c r="D178" s="16"/>
      <x:c r="E178" s="18"/>
      <x:c r="F178" s="18" t="str">
        <x:f>IF(OR(D178="",E178=""),"",D178*E178)</x:f>
      </x:c>
      <x:c r="G178" s="18" t="str">
        <x:f>IFERROR(XLOOKUP(A178,'Baseline Price List'!$A:$A,'Baseline Price List'!$E:$E),"NEW ITEM")</x:f>
        <x:v>NEW ITEM</x:v>
      </x:c>
      <x:c r="H178" s="18" t="n">
        <x:f>$O$2</x:f>
        <x:v>0</x:v>
      </x:c>
      <x:c r="I178" s="18" t="str">
        <x:f>IF(OR(E178="",G178="NEW ITEM"),"",E178-G178)</x:f>
      </x:c>
      <x:c r="J178" s="18" t="str">
        <x:f>IF(OR(I178="",D178=""),"",MAX(0,I178-H178)*D178)</x:f>
      </x:c>
      <x:c r="K178" s="11" t="str">
        <x:f>IF(A178="","",IF(G178="NEW ITEM","NEW ITEM - REVIEW",IF(E178&gt;G178+H178,"OVER BASELINE","OK")))</x:f>
      </x:c>
      <x:c r="L178" s="11"/>
    </x:row>
    <x:row r="179">
      <x:c r="A179" s="11"/>
      <x:c r="B179" s="11"/>
      <x:c r="C179" s="11"/>
      <x:c r="D179" s="16"/>
      <x:c r="E179" s="18"/>
      <x:c r="F179" s="18" t="str">
        <x:f>IF(OR(D179="",E179=""),"",D179*E179)</x:f>
      </x:c>
      <x:c r="G179" s="18" t="str">
        <x:f>IFERROR(XLOOKUP(A179,'Baseline Price List'!$A:$A,'Baseline Price List'!$E:$E),"NEW ITEM")</x:f>
        <x:v>NEW ITEM</x:v>
      </x:c>
      <x:c r="H179" s="18" t="n">
        <x:f>$O$2</x:f>
        <x:v>0</x:v>
      </x:c>
      <x:c r="I179" s="18" t="str">
        <x:f>IF(OR(E179="",G179="NEW ITEM"),"",E179-G179)</x:f>
      </x:c>
      <x:c r="J179" s="18" t="str">
        <x:f>IF(OR(I179="",D179=""),"",MAX(0,I179-H179)*D179)</x:f>
      </x:c>
      <x:c r="K179" s="11" t="str">
        <x:f>IF(A179="","",IF(G179="NEW ITEM","NEW ITEM - REVIEW",IF(E179&gt;G179+H179,"OVER BASELINE","OK")))</x:f>
      </x:c>
      <x:c r="L179" s="11"/>
    </x:row>
    <x:row r="180">
      <x:c r="A180" s="11"/>
      <x:c r="B180" s="11"/>
      <x:c r="C180" s="11"/>
      <x:c r="D180" s="16"/>
      <x:c r="E180" s="18"/>
      <x:c r="F180" s="18" t="str">
        <x:f>IF(OR(D180="",E180=""),"",D180*E180)</x:f>
      </x:c>
      <x:c r="G180" s="18" t="str">
        <x:f>IFERROR(XLOOKUP(A180,'Baseline Price List'!$A:$A,'Baseline Price List'!$E:$E),"NEW ITEM")</x:f>
        <x:v>NEW ITEM</x:v>
      </x:c>
      <x:c r="H180" s="18" t="n">
        <x:f>$O$2</x:f>
        <x:v>0</x:v>
      </x:c>
      <x:c r="I180" s="18" t="str">
        <x:f>IF(OR(E180="",G180="NEW ITEM"),"",E180-G180)</x:f>
      </x:c>
      <x:c r="J180" s="18" t="str">
        <x:f>IF(OR(I180="",D180=""),"",MAX(0,I180-H180)*D180)</x:f>
      </x:c>
      <x:c r="K180" s="11" t="str">
        <x:f>IF(A180="","",IF(G180="NEW ITEM","NEW ITEM - REVIEW",IF(E180&gt;G180+H180,"OVER BASELINE","OK")))</x:f>
      </x:c>
      <x:c r="L180" s="11"/>
    </x:row>
    <x:row r="181">
      <x:c r="A181" s="11"/>
      <x:c r="B181" s="11"/>
      <x:c r="C181" s="11"/>
      <x:c r="D181" s="16"/>
      <x:c r="E181" s="18"/>
      <x:c r="F181" s="18" t="str">
        <x:f>IF(OR(D181="",E181=""),"",D181*E181)</x:f>
      </x:c>
      <x:c r="G181" s="18" t="str">
        <x:f>IFERROR(XLOOKUP(A181,'Baseline Price List'!$A:$A,'Baseline Price List'!$E:$E),"NEW ITEM")</x:f>
        <x:v>NEW ITEM</x:v>
      </x:c>
      <x:c r="H181" s="18" t="n">
        <x:f>$O$2</x:f>
        <x:v>0</x:v>
      </x:c>
      <x:c r="I181" s="18" t="str">
        <x:f>IF(OR(E181="",G181="NEW ITEM"),"",E181-G181)</x:f>
      </x:c>
      <x:c r="J181" s="18" t="str">
        <x:f>IF(OR(I181="",D181=""),"",MAX(0,I181-H181)*D181)</x:f>
      </x:c>
      <x:c r="K181" s="11" t="str">
        <x:f>IF(A181="","",IF(G181="NEW ITEM","NEW ITEM - REVIEW",IF(E181&gt;G181+H181,"OVER BASELINE","OK")))</x:f>
      </x:c>
      <x:c r="L181" s="11"/>
    </x:row>
    <x:row r="182">
      <x:c r="A182" s="11"/>
      <x:c r="B182" s="11"/>
      <x:c r="C182" s="11"/>
      <x:c r="D182" s="16"/>
      <x:c r="E182" s="18"/>
      <x:c r="F182" s="18" t="str">
        <x:f>IF(OR(D182="",E182=""),"",D182*E182)</x:f>
      </x:c>
      <x:c r="G182" s="18" t="str">
        <x:f>IFERROR(XLOOKUP(A182,'Baseline Price List'!$A:$A,'Baseline Price List'!$E:$E),"NEW ITEM")</x:f>
        <x:v>NEW ITEM</x:v>
      </x:c>
      <x:c r="H182" s="18" t="n">
        <x:f>$O$2</x:f>
        <x:v>0</x:v>
      </x:c>
      <x:c r="I182" s="18" t="str">
        <x:f>IF(OR(E182="",G182="NEW ITEM"),"",E182-G182)</x:f>
      </x:c>
      <x:c r="J182" s="18" t="str">
        <x:f>IF(OR(I182="",D182=""),"",MAX(0,I182-H182)*D182)</x:f>
      </x:c>
      <x:c r="K182" s="11" t="str">
        <x:f>IF(A182="","",IF(G182="NEW ITEM","NEW ITEM - REVIEW",IF(E182&gt;G182+H182,"OVER BASELINE","OK")))</x:f>
      </x:c>
      <x:c r="L182" s="11"/>
    </x:row>
    <x:row r="183">
      <x:c r="A183" s="11"/>
      <x:c r="B183" s="11"/>
      <x:c r="C183" s="11"/>
      <x:c r="D183" s="16"/>
      <x:c r="E183" s="18"/>
      <x:c r="F183" s="18" t="str">
        <x:f>IF(OR(D183="",E183=""),"",D183*E183)</x:f>
      </x:c>
      <x:c r="G183" s="18" t="str">
        <x:f>IFERROR(XLOOKUP(A183,'Baseline Price List'!$A:$A,'Baseline Price List'!$E:$E),"NEW ITEM")</x:f>
        <x:v>NEW ITEM</x:v>
      </x:c>
      <x:c r="H183" s="18" t="n">
        <x:f>$O$2</x:f>
        <x:v>0</x:v>
      </x:c>
      <x:c r="I183" s="18" t="str">
        <x:f>IF(OR(E183="",G183="NEW ITEM"),"",E183-G183)</x:f>
      </x:c>
      <x:c r="J183" s="18" t="str">
        <x:f>IF(OR(I183="",D183=""),"",MAX(0,I183-H183)*D183)</x:f>
      </x:c>
      <x:c r="K183" s="11" t="str">
        <x:f>IF(A183="","",IF(G183="NEW ITEM","NEW ITEM - REVIEW",IF(E183&gt;G183+H183,"OVER BASELINE","OK")))</x:f>
      </x:c>
      <x:c r="L183" s="11"/>
    </x:row>
    <x:row r="184">
      <x:c r="A184" s="11"/>
      <x:c r="B184" s="11"/>
      <x:c r="C184" s="11"/>
      <x:c r="D184" s="16"/>
      <x:c r="E184" s="18"/>
      <x:c r="F184" s="18" t="str">
        <x:f>IF(OR(D184="",E184=""),"",D184*E184)</x:f>
      </x:c>
      <x:c r="G184" s="18" t="str">
        <x:f>IFERROR(XLOOKUP(A184,'Baseline Price List'!$A:$A,'Baseline Price List'!$E:$E),"NEW ITEM")</x:f>
        <x:v>NEW ITEM</x:v>
      </x:c>
      <x:c r="H184" s="18" t="n">
        <x:f>$O$2</x:f>
        <x:v>0</x:v>
      </x:c>
      <x:c r="I184" s="18" t="str">
        <x:f>IF(OR(E184="",G184="NEW ITEM"),"",E184-G184)</x:f>
      </x:c>
      <x:c r="J184" s="18" t="str">
        <x:f>IF(OR(I184="",D184=""),"",MAX(0,I184-H184)*D184)</x:f>
      </x:c>
      <x:c r="K184" s="11" t="str">
        <x:f>IF(A184="","",IF(G184="NEW ITEM","NEW ITEM - REVIEW",IF(E184&gt;G184+H184,"OVER BASELINE","OK")))</x:f>
      </x:c>
      <x:c r="L184" s="11"/>
    </x:row>
    <x:row r="185">
      <x:c r="A185" s="11"/>
      <x:c r="B185" s="11"/>
      <x:c r="C185" s="11"/>
      <x:c r="D185" s="16"/>
      <x:c r="E185" s="18"/>
      <x:c r="F185" s="18" t="str">
        <x:f>IF(OR(D185="",E185=""),"",D185*E185)</x:f>
      </x:c>
      <x:c r="G185" s="18" t="str">
        <x:f>IFERROR(XLOOKUP(A185,'Baseline Price List'!$A:$A,'Baseline Price List'!$E:$E),"NEW ITEM")</x:f>
        <x:v>NEW ITEM</x:v>
      </x:c>
      <x:c r="H185" s="18" t="n">
        <x:f>$O$2</x:f>
        <x:v>0</x:v>
      </x:c>
      <x:c r="I185" s="18" t="str">
        <x:f>IF(OR(E185="",G185="NEW ITEM"),"",E185-G185)</x:f>
      </x:c>
      <x:c r="J185" s="18" t="str">
        <x:f>IF(OR(I185="",D185=""),"",MAX(0,I185-H185)*D185)</x:f>
      </x:c>
      <x:c r="K185" s="11" t="str">
        <x:f>IF(A185="","",IF(G185="NEW ITEM","NEW ITEM - REVIEW",IF(E185&gt;G185+H185,"OVER BASELINE","OK")))</x:f>
      </x:c>
      <x:c r="L185" s="11"/>
    </x:row>
    <x:row r="186">
      <x:c r="A186" s="11"/>
      <x:c r="B186" s="11"/>
      <x:c r="C186" s="11"/>
      <x:c r="D186" s="16"/>
      <x:c r="E186" s="18"/>
      <x:c r="F186" s="18" t="str">
        <x:f>IF(OR(D186="",E186=""),"",D186*E186)</x:f>
      </x:c>
      <x:c r="G186" s="18" t="str">
        <x:f>IFERROR(XLOOKUP(A186,'Baseline Price List'!$A:$A,'Baseline Price List'!$E:$E),"NEW ITEM")</x:f>
        <x:v>NEW ITEM</x:v>
      </x:c>
      <x:c r="H186" s="18" t="n">
        <x:f>$O$2</x:f>
        <x:v>0</x:v>
      </x:c>
      <x:c r="I186" s="18" t="str">
        <x:f>IF(OR(E186="",G186="NEW ITEM"),"",E186-G186)</x:f>
      </x:c>
      <x:c r="J186" s="18" t="str">
        <x:f>IF(OR(I186="",D186=""),"",MAX(0,I186-H186)*D186)</x:f>
      </x:c>
      <x:c r="K186" s="11" t="str">
        <x:f>IF(A186="","",IF(G186="NEW ITEM","NEW ITEM - REVIEW",IF(E186&gt;G186+H186,"OVER BASELINE","OK")))</x:f>
      </x:c>
      <x:c r="L186" s="11"/>
    </x:row>
    <x:row r="187">
      <x:c r="A187" s="11"/>
      <x:c r="B187" s="11"/>
      <x:c r="C187" s="11"/>
      <x:c r="D187" s="16"/>
      <x:c r="E187" s="18"/>
      <x:c r="F187" s="18" t="str">
        <x:f>IF(OR(D187="",E187=""),"",D187*E187)</x:f>
      </x:c>
      <x:c r="G187" s="18" t="str">
        <x:f>IFERROR(XLOOKUP(A187,'Baseline Price List'!$A:$A,'Baseline Price List'!$E:$E),"NEW ITEM")</x:f>
        <x:v>NEW ITEM</x:v>
      </x:c>
      <x:c r="H187" s="18" t="n">
        <x:f>$O$2</x:f>
        <x:v>0</x:v>
      </x:c>
      <x:c r="I187" s="18" t="str">
        <x:f>IF(OR(E187="",G187="NEW ITEM"),"",E187-G187)</x:f>
      </x:c>
      <x:c r="J187" s="18" t="str">
        <x:f>IF(OR(I187="",D187=""),"",MAX(0,I187-H187)*D187)</x:f>
      </x:c>
      <x:c r="K187" s="11" t="str">
        <x:f>IF(A187="","",IF(G187="NEW ITEM","NEW ITEM - REVIEW",IF(E187&gt;G187+H187,"OVER BASELINE","OK")))</x:f>
      </x:c>
      <x:c r="L187" s="11"/>
    </x:row>
    <x:row r="188">
      <x:c r="A188" s="11"/>
      <x:c r="B188" s="11"/>
      <x:c r="C188" s="11"/>
      <x:c r="D188" s="16"/>
      <x:c r="E188" s="18"/>
      <x:c r="F188" s="18" t="str">
        <x:f>IF(OR(D188="",E188=""),"",D188*E188)</x:f>
      </x:c>
      <x:c r="G188" s="18" t="str">
        <x:f>IFERROR(XLOOKUP(A188,'Baseline Price List'!$A:$A,'Baseline Price List'!$E:$E),"NEW ITEM")</x:f>
        <x:v>NEW ITEM</x:v>
      </x:c>
      <x:c r="H188" s="18" t="n">
        <x:f>$O$2</x:f>
        <x:v>0</x:v>
      </x:c>
      <x:c r="I188" s="18" t="str">
        <x:f>IF(OR(E188="",G188="NEW ITEM"),"",E188-G188)</x:f>
      </x:c>
      <x:c r="J188" s="18" t="str">
        <x:f>IF(OR(I188="",D188=""),"",MAX(0,I188-H188)*D188)</x:f>
      </x:c>
      <x:c r="K188" s="11" t="str">
        <x:f>IF(A188="","",IF(G188="NEW ITEM","NEW ITEM - REVIEW",IF(E188&gt;G188+H188,"OVER BASELINE","OK")))</x:f>
      </x:c>
      <x:c r="L188" s="11"/>
    </x:row>
    <x:row r="189">
      <x:c r="A189" s="11"/>
      <x:c r="B189" s="11"/>
      <x:c r="C189" s="11"/>
      <x:c r="D189" s="16"/>
      <x:c r="E189" s="18"/>
      <x:c r="F189" s="18" t="str">
        <x:f>IF(OR(D189="",E189=""),"",D189*E189)</x:f>
      </x:c>
      <x:c r="G189" s="18" t="str">
        <x:f>IFERROR(XLOOKUP(A189,'Baseline Price List'!$A:$A,'Baseline Price List'!$E:$E),"NEW ITEM")</x:f>
        <x:v>NEW ITEM</x:v>
      </x:c>
      <x:c r="H189" s="18" t="n">
        <x:f>$O$2</x:f>
        <x:v>0</x:v>
      </x:c>
      <x:c r="I189" s="18" t="str">
        <x:f>IF(OR(E189="",G189="NEW ITEM"),"",E189-G189)</x:f>
      </x:c>
      <x:c r="J189" s="18" t="str">
        <x:f>IF(OR(I189="",D189=""),"",MAX(0,I189-H189)*D189)</x:f>
      </x:c>
      <x:c r="K189" s="11" t="str">
        <x:f>IF(A189="","",IF(G189="NEW ITEM","NEW ITEM - REVIEW",IF(E189&gt;G189+H189,"OVER BASELINE","OK")))</x:f>
      </x:c>
      <x:c r="L189" s="11"/>
    </x:row>
    <x:row r="190">
      <x:c r="A190" s="11"/>
      <x:c r="B190" s="11"/>
      <x:c r="C190" s="11"/>
      <x:c r="D190" s="16"/>
      <x:c r="E190" s="18"/>
      <x:c r="F190" s="18" t="str">
        <x:f>IF(OR(D190="",E190=""),"",D190*E190)</x:f>
      </x:c>
      <x:c r="G190" s="18" t="str">
        <x:f>IFERROR(XLOOKUP(A190,'Baseline Price List'!$A:$A,'Baseline Price List'!$E:$E),"NEW ITEM")</x:f>
        <x:v>NEW ITEM</x:v>
      </x:c>
      <x:c r="H190" s="18" t="n">
        <x:f>$O$2</x:f>
        <x:v>0</x:v>
      </x:c>
      <x:c r="I190" s="18" t="str">
        <x:f>IF(OR(E190="",G190="NEW ITEM"),"",E190-G190)</x:f>
      </x:c>
      <x:c r="J190" s="18" t="str">
        <x:f>IF(OR(I190="",D190=""),"",MAX(0,I190-H190)*D190)</x:f>
      </x:c>
      <x:c r="K190" s="11" t="str">
        <x:f>IF(A190="","",IF(G190="NEW ITEM","NEW ITEM - REVIEW",IF(E190&gt;G190+H190,"OVER BASELINE","OK")))</x:f>
      </x:c>
      <x:c r="L190" s="11"/>
    </x:row>
    <x:row r="191">
      <x:c r="A191" s="11"/>
      <x:c r="B191" s="11"/>
      <x:c r="C191" s="11"/>
      <x:c r="D191" s="16"/>
      <x:c r="E191" s="18"/>
      <x:c r="F191" s="18" t="str">
        <x:f>IF(OR(D191="",E191=""),"",D191*E191)</x:f>
      </x:c>
      <x:c r="G191" s="18" t="str">
        <x:f>IFERROR(XLOOKUP(A191,'Baseline Price List'!$A:$A,'Baseline Price List'!$E:$E),"NEW ITEM")</x:f>
        <x:v>NEW ITEM</x:v>
      </x:c>
      <x:c r="H191" s="18" t="n">
        <x:f>$O$2</x:f>
        <x:v>0</x:v>
      </x:c>
      <x:c r="I191" s="18" t="str">
        <x:f>IF(OR(E191="",G191="NEW ITEM"),"",E191-G191)</x:f>
      </x:c>
      <x:c r="J191" s="18" t="str">
        <x:f>IF(OR(I191="",D191=""),"",MAX(0,I191-H191)*D191)</x:f>
      </x:c>
      <x:c r="K191" s="11" t="str">
        <x:f>IF(A191="","",IF(G191="NEW ITEM","NEW ITEM - REVIEW",IF(E191&gt;G191+H191,"OVER BASELINE","OK")))</x:f>
      </x:c>
      <x:c r="L191" s="11"/>
    </x:row>
    <x:row r="192">
      <x:c r="A192" s="11"/>
      <x:c r="B192" s="11"/>
      <x:c r="C192" s="11"/>
      <x:c r="D192" s="16"/>
      <x:c r="E192" s="18"/>
      <x:c r="F192" s="18" t="str">
        <x:f>IF(OR(D192="",E192=""),"",D192*E192)</x:f>
      </x:c>
      <x:c r="G192" s="18" t="str">
        <x:f>IFERROR(XLOOKUP(A192,'Baseline Price List'!$A:$A,'Baseline Price List'!$E:$E),"NEW ITEM")</x:f>
        <x:v>NEW ITEM</x:v>
      </x:c>
      <x:c r="H192" s="18" t="n">
        <x:f>$O$2</x:f>
        <x:v>0</x:v>
      </x:c>
      <x:c r="I192" s="18" t="str">
        <x:f>IF(OR(E192="",G192="NEW ITEM"),"",E192-G192)</x:f>
      </x:c>
      <x:c r="J192" s="18" t="str">
        <x:f>IF(OR(I192="",D192=""),"",MAX(0,I192-H192)*D192)</x:f>
      </x:c>
      <x:c r="K192" s="11" t="str">
        <x:f>IF(A192="","",IF(G192="NEW ITEM","NEW ITEM - REVIEW",IF(E192&gt;G192+H192,"OVER BASELINE","OK")))</x:f>
      </x:c>
      <x:c r="L192" s="11"/>
    </x:row>
    <x:row r="193">
      <x:c r="A193" s="11"/>
      <x:c r="B193" s="11"/>
      <x:c r="C193" s="11"/>
      <x:c r="D193" s="16"/>
      <x:c r="E193" s="18"/>
      <x:c r="F193" s="18" t="str">
        <x:f>IF(OR(D193="",E193=""),"",D193*E193)</x:f>
      </x:c>
      <x:c r="G193" s="18" t="str">
        <x:f>IFERROR(XLOOKUP(A193,'Baseline Price List'!$A:$A,'Baseline Price List'!$E:$E),"NEW ITEM")</x:f>
        <x:v>NEW ITEM</x:v>
      </x:c>
      <x:c r="H193" s="18" t="n">
        <x:f>$O$2</x:f>
        <x:v>0</x:v>
      </x:c>
      <x:c r="I193" s="18" t="str">
        <x:f>IF(OR(E193="",G193="NEW ITEM"),"",E193-G193)</x:f>
      </x:c>
      <x:c r="J193" s="18" t="str">
        <x:f>IF(OR(I193="",D193=""),"",MAX(0,I193-H193)*D193)</x:f>
      </x:c>
      <x:c r="K193" s="11" t="str">
        <x:f>IF(A193="","",IF(G193="NEW ITEM","NEW ITEM - REVIEW",IF(E193&gt;G193+H193,"OVER BASELINE","OK")))</x:f>
      </x:c>
      <x:c r="L193" s="11"/>
    </x:row>
    <x:row r="194">
      <x:c r="A194" s="11"/>
      <x:c r="B194" s="11"/>
      <x:c r="C194" s="11"/>
      <x:c r="D194" s="16"/>
      <x:c r="E194" s="18"/>
      <x:c r="F194" s="18" t="str">
        <x:f>IF(OR(D194="",E194=""),"",D194*E194)</x:f>
      </x:c>
      <x:c r="G194" s="18" t="str">
        <x:f>IFERROR(XLOOKUP(A194,'Baseline Price List'!$A:$A,'Baseline Price List'!$E:$E),"NEW ITEM")</x:f>
        <x:v>NEW ITEM</x:v>
      </x:c>
      <x:c r="H194" s="18" t="n">
        <x:f>$O$2</x:f>
        <x:v>0</x:v>
      </x:c>
      <x:c r="I194" s="18" t="str">
        <x:f>IF(OR(E194="",G194="NEW ITEM"),"",E194-G194)</x:f>
      </x:c>
      <x:c r="J194" s="18" t="str">
        <x:f>IF(OR(I194="",D194=""),"",MAX(0,I194-H194)*D194)</x:f>
      </x:c>
      <x:c r="K194" s="11" t="str">
        <x:f>IF(A194="","",IF(G194="NEW ITEM","NEW ITEM - REVIEW",IF(E194&gt;G194+H194,"OVER BASELINE","OK")))</x:f>
      </x:c>
      <x:c r="L194" s="11"/>
    </x:row>
    <x:row r="195">
      <x:c r="A195" s="11"/>
      <x:c r="B195" s="11"/>
      <x:c r="C195" s="11"/>
      <x:c r="D195" s="16"/>
      <x:c r="E195" s="18"/>
      <x:c r="F195" s="18" t="str">
        <x:f>IF(OR(D195="",E195=""),"",D195*E195)</x:f>
      </x:c>
      <x:c r="G195" s="18" t="str">
        <x:f>IFERROR(XLOOKUP(A195,'Baseline Price List'!$A:$A,'Baseline Price List'!$E:$E),"NEW ITEM")</x:f>
        <x:v>NEW ITEM</x:v>
      </x:c>
      <x:c r="H195" s="18" t="n">
        <x:f>$O$2</x:f>
        <x:v>0</x:v>
      </x:c>
      <x:c r="I195" s="18" t="str">
        <x:f>IF(OR(E195="",G195="NEW ITEM"),"",E195-G195)</x:f>
      </x:c>
      <x:c r="J195" s="18" t="str">
        <x:f>IF(OR(I195="",D195=""),"",MAX(0,I195-H195)*D195)</x:f>
      </x:c>
      <x:c r="K195" s="11" t="str">
        <x:f>IF(A195="","",IF(G195="NEW ITEM","NEW ITEM - REVIEW",IF(E195&gt;G195+H195,"OVER BASELINE","OK")))</x:f>
      </x:c>
      <x:c r="L195" s="11"/>
    </x:row>
    <x:row r="196">
      <x:c r="A196" s="11"/>
      <x:c r="B196" s="11"/>
      <x:c r="C196" s="11"/>
      <x:c r="D196" s="16"/>
      <x:c r="E196" s="18"/>
      <x:c r="F196" s="18" t="str">
        <x:f>IF(OR(D196="",E196=""),"",D196*E196)</x:f>
      </x:c>
      <x:c r="G196" s="18" t="str">
        <x:f>IFERROR(XLOOKUP(A196,'Baseline Price List'!$A:$A,'Baseline Price List'!$E:$E),"NEW ITEM")</x:f>
        <x:v>NEW ITEM</x:v>
      </x:c>
      <x:c r="H196" s="18" t="n">
        <x:f>$O$2</x:f>
        <x:v>0</x:v>
      </x:c>
      <x:c r="I196" s="18" t="str">
        <x:f>IF(OR(E196="",G196="NEW ITEM"),"",E196-G196)</x:f>
      </x:c>
      <x:c r="J196" s="18" t="str">
        <x:f>IF(OR(I196="",D196=""),"",MAX(0,I196-H196)*D196)</x:f>
      </x:c>
      <x:c r="K196" s="11" t="str">
        <x:f>IF(A196="","",IF(G196="NEW ITEM","NEW ITEM - REVIEW",IF(E196&gt;G196+H196,"OVER BASELINE","OK")))</x:f>
      </x:c>
      <x:c r="L196" s="11"/>
    </x:row>
    <x:row r="197">
      <x:c r="A197" s="11"/>
      <x:c r="B197" s="11"/>
      <x:c r="C197" s="11"/>
      <x:c r="D197" s="16"/>
      <x:c r="E197" s="18"/>
      <x:c r="F197" s="18" t="str">
        <x:f>IF(OR(D197="",E197=""),"",D197*E197)</x:f>
      </x:c>
      <x:c r="G197" s="18" t="str">
        <x:f>IFERROR(XLOOKUP(A197,'Baseline Price List'!$A:$A,'Baseline Price List'!$E:$E),"NEW ITEM")</x:f>
        <x:v>NEW ITEM</x:v>
      </x:c>
      <x:c r="H197" s="18" t="n">
        <x:f>$O$2</x:f>
        <x:v>0</x:v>
      </x:c>
      <x:c r="I197" s="18" t="str">
        <x:f>IF(OR(E197="",G197="NEW ITEM"),"",E197-G197)</x:f>
      </x:c>
      <x:c r="J197" s="18" t="str">
        <x:f>IF(OR(I197="",D197=""),"",MAX(0,I197-H197)*D197)</x:f>
      </x:c>
      <x:c r="K197" s="11" t="str">
        <x:f>IF(A197="","",IF(G197="NEW ITEM","NEW ITEM - REVIEW",IF(E197&gt;G197+H197,"OVER BASELINE","OK")))</x:f>
      </x:c>
      <x:c r="L197" s="11"/>
    </x:row>
    <x:row r="198">
      <x:c r="A198" s="11"/>
      <x:c r="B198" s="11"/>
      <x:c r="C198" s="11"/>
      <x:c r="D198" s="16"/>
      <x:c r="E198" s="18"/>
      <x:c r="F198" s="18" t="str">
        <x:f>IF(OR(D198="",E198=""),"",D198*E198)</x:f>
      </x:c>
      <x:c r="G198" s="18" t="str">
        <x:f>IFERROR(XLOOKUP(A198,'Baseline Price List'!$A:$A,'Baseline Price List'!$E:$E),"NEW ITEM")</x:f>
        <x:v>NEW ITEM</x:v>
      </x:c>
      <x:c r="H198" s="18" t="n">
        <x:f>$O$2</x:f>
        <x:v>0</x:v>
      </x:c>
      <x:c r="I198" s="18" t="str">
        <x:f>IF(OR(E198="",G198="NEW ITEM"),"",E198-G198)</x:f>
      </x:c>
      <x:c r="J198" s="18" t="str">
        <x:f>IF(OR(I198="",D198=""),"",MAX(0,I198-H198)*D198)</x:f>
      </x:c>
      <x:c r="K198" s="11" t="str">
        <x:f>IF(A198="","",IF(G198="NEW ITEM","NEW ITEM - REVIEW",IF(E198&gt;G198+H198,"OVER BASELINE","OK")))</x:f>
      </x:c>
      <x:c r="L198" s="11"/>
    </x:row>
    <x:row r="199">
      <x:c r="A199" s="11"/>
      <x:c r="B199" s="11"/>
      <x:c r="C199" s="11"/>
      <x:c r="D199" s="16"/>
      <x:c r="E199" s="18"/>
      <x:c r="F199" s="18" t="str">
        <x:f>IF(OR(D199="",E199=""),"",D199*E199)</x:f>
      </x:c>
      <x:c r="G199" s="18" t="str">
        <x:f>IFERROR(XLOOKUP(A199,'Baseline Price List'!$A:$A,'Baseline Price List'!$E:$E),"NEW ITEM")</x:f>
        <x:v>NEW ITEM</x:v>
      </x:c>
      <x:c r="H199" s="18" t="n">
        <x:f>$O$2</x:f>
        <x:v>0</x:v>
      </x:c>
      <x:c r="I199" s="18" t="str">
        <x:f>IF(OR(E199="",G199="NEW ITEM"),"",E199-G199)</x:f>
      </x:c>
      <x:c r="J199" s="18" t="str">
        <x:f>IF(OR(I199="",D199=""),"",MAX(0,I199-H199)*D199)</x:f>
      </x:c>
      <x:c r="K199" s="11" t="str">
        <x:f>IF(A199="","",IF(G199="NEW ITEM","NEW ITEM - REVIEW",IF(E199&gt;G199+H199,"OVER BASELINE","OK")))</x:f>
      </x:c>
      <x:c r="L199" s="11"/>
    </x:row>
    <x:row r="200">
      <x:c r="A200" s="11"/>
      <x:c r="B200" s="11"/>
      <x:c r="C200" s="11"/>
      <x:c r="D200" s="16"/>
      <x:c r="E200" s="18"/>
      <x:c r="F200" s="18" t="str">
        <x:f>IF(OR(D200="",E200=""),"",D200*E200)</x:f>
      </x:c>
      <x:c r="G200" s="18" t="str">
        <x:f>IFERROR(XLOOKUP(A200,'Baseline Price List'!$A:$A,'Baseline Price List'!$E:$E),"NEW ITEM")</x:f>
        <x:v>NEW ITEM</x:v>
      </x:c>
      <x:c r="H200" s="18" t="n">
        <x:f>$O$2</x:f>
        <x:v>0</x:v>
      </x:c>
      <x:c r="I200" s="18" t="str">
        <x:f>IF(OR(E200="",G200="NEW ITEM"),"",E200-G200)</x:f>
      </x:c>
      <x:c r="J200" s="18" t="str">
        <x:f>IF(OR(I200="",D200=""),"",MAX(0,I200-H200)*D200)</x:f>
      </x:c>
      <x:c r="K200" s="11" t="str">
        <x:f>IF(A200="","",IF(G200="NEW ITEM","NEW ITEM - REVIEW",IF(E200&gt;G200+H200,"OVER BASELINE","OK")))</x:f>
      </x:c>
      <x:c r="L200" s="11"/>
    </x:row>
  </x:sheetData>
  <x:conditionalFormatting sqref="K2:K200">
    <x:cfRule type="expression" dxfId="0" priority="1">
      <x:formula>$K2="OVER BASELINE"</x:formula>
    </x:cfRule>
    <x:cfRule type="expression" dxfId="1" priority="2">
      <x:formula>$K2="NEW ITEM -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79633e49734e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</x:cols>
  <x:sheetData>
    <x:row r="1">
      <x:c r="A1" s="56" t="str">
        <x:v>Purpose</x:v>
      </x:c>
      <x:c r="B1" s="11" t="str">
        <x:v>This workbook turns the uploaded Matt's Building Materials invoices into a budget baseline / source of truth for framing materials.</x:v>
      </x:c>
    </x:row>
    <x:row r="2">
      <x:c r="A2" s="56" t="str">
        <x:v>How to use</x:v>
      </x:c>
      <x:c r="B2" s="11" t="str">
        <x:v>Use the Baseline Price List as the current budget. Paste future invoice lines into New Invoice Check. Any unit price above the baseline plus the allowed variance is flagged.</x:v>
      </x:c>
    </x:row>
    <x:row r="3">
      <x:c r="A3" s="56" t="str">
        <x:v>Baseline rule</x:v>
      </x:c>
      <x:c r="B3" s="11" t="str">
        <x:v>Baseline Unit Price is set to the lowest unit price observed for each item number in the uploaded invoices. This is intentionally conservative for overcharge detection.</x:v>
      </x:c>
    </x:row>
    <x:row r="4">
      <x:c r="A4" s="56" t="str">
        <x:v>Current limitation</x:v>
      </x:c>
      <x:c r="B4" s="11" t="str">
        <x:v>Invoice 2509-105909 is only page 1 of 2 in the uploaded image. Upload page 2 and I can update the workbook.</x:v>
      </x:c>
    </x:row>
    <x:row r="5">
      <x:c r="A5" s="56" t="str">
        <x:v>Google Sheets</x:v>
      </x:c>
      <x:c r="B5" s="11" t="str">
        <x:v>Upload this .xlsx file to Google Drive and open it with Google Sheets. The formulas and tables should transfer for normal use.</x:v>
      </x:c>
    </x:row>
    <x:row r="6">
      <x:c r="A6" s="56" t="str">
        <x:v>Future invoices</x:v>
      </x:c>
      <x:c r="B6" s="11" t="str">
        <x:v>Send the next invoice image, and I can compare it against this baseline and update the source-of-truth workbook.</x:v>
      </x:c>
    </x:row>
  </x:sheetData>
  <x:pageMargins left="0.7" right="0.7" top="0.75" bottom="0.75" header="0.3" footer="0.3"/>
</x:worksheet>
</file>